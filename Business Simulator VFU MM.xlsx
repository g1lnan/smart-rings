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mattmatsunoo/Library/Mobile Documents/com~apple~CloudDocs/iCloud Box/3-1 FTU:KGU/2026 VJCC JIB/VBiz I/"/>
    </mc:Choice>
  </mc:AlternateContent>
  <xr:revisionPtr revIDLastSave="0" documentId="13_ncr:1_{0860484D-0316-574B-B384-C025DFC6C5C5}" xr6:coauthVersionLast="47" xr6:coauthVersionMax="47" xr10:uidLastSave="{00000000-0000-0000-0000-000000000000}"/>
  <bookViews>
    <workbookView xWindow="0" yWindow="660" windowWidth="30240" windowHeight="17200" tabRatio="500" activeTab="3" xr2:uid="{00000000-000D-0000-FFFF-FFFF00000000}"/>
  </bookViews>
  <sheets>
    <sheet name="How to Use" sheetId="1" r:id="rId1"/>
    <sheet name="Inputs" sheetId="2" r:id="rId2"/>
    <sheet name="PL" sheetId="3" r:id="rId3"/>
    <sheet name="BEP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7" i="4" l="1"/>
  <c r="E7" i="4"/>
  <c r="D7" i="4"/>
  <c r="C7" i="4"/>
  <c r="B7" i="4"/>
  <c r="F28" i="3"/>
  <c r="E28" i="3"/>
  <c r="D28" i="3"/>
  <c r="C28" i="3"/>
  <c r="B28" i="3"/>
  <c r="A28" i="3"/>
  <c r="F27" i="3"/>
  <c r="E27" i="3"/>
  <c r="D27" i="3"/>
  <c r="C27" i="3"/>
  <c r="B27" i="3"/>
  <c r="A27" i="3"/>
  <c r="F26" i="3"/>
  <c r="E26" i="3"/>
  <c r="D26" i="3"/>
  <c r="C26" i="3"/>
  <c r="B26" i="3"/>
  <c r="A26" i="3"/>
  <c r="F25" i="3"/>
  <c r="E25" i="3"/>
  <c r="D25" i="3"/>
  <c r="C25" i="3"/>
  <c r="B25" i="3"/>
  <c r="A25" i="3"/>
  <c r="F24" i="3"/>
  <c r="E24" i="3"/>
  <c r="D24" i="3"/>
  <c r="C24" i="3"/>
  <c r="B24" i="3"/>
  <c r="A24" i="3"/>
  <c r="F23" i="3"/>
  <c r="E23" i="3"/>
  <c r="D23" i="3"/>
  <c r="C23" i="3"/>
  <c r="B23" i="3"/>
  <c r="A23" i="3"/>
  <c r="F22" i="3"/>
  <c r="E22" i="3"/>
  <c r="D22" i="3"/>
  <c r="C22" i="3"/>
  <c r="B22" i="3"/>
  <c r="A22" i="3"/>
  <c r="A16" i="3"/>
  <c r="A15" i="3"/>
  <c r="A14" i="3"/>
  <c r="A13" i="3"/>
  <c r="A12" i="3"/>
  <c r="A11" i="3"/>
  <c r="F8" i="3"/>
  <c r="E8" i="3"/>
  <c r="D8" i="3"/>
  <c r="C8" i="3"/>
  <c r="B8" i="3"/>
  <c r="F6" i="3"/>
  <c r="E6" i="3"/>
  <c r="D6" i="3"/>
  <c r="C6" i="3"/>
  <c r="B6" i="3"/>
  <c r="B5" i="3"/>
  <c r="F44" i="2"/>
  <c r="E44" i="2"/>
  <c r="D44" i="2"/>
  <c r="C44" i="2"/>
  <c r="B44" i="2"/>
  <c r="C33" i="2"/>
  <c r="C5" i="4" s="1"/>
  <c r="F32" i="2"/>
  <c r="F29" i="3" s="1"/>
  <c r="E32" i="2"/>
  <c r="E29" i="3" s="1"/>
  <c r="D32" i="2"/>
  <c r="D29" i="3" s="1"/>
  <c r="C32" i="2"/>
  <c r="C29" i="3" s="1"/>
  <c r="B32" i="2"/>
  <c r="B29" i="3" s="1"/>
  <c r="F21" i="2"/>
  <c r="F6" i="4" s="1"/>
  <c r="E21" i="2"/>
  <c r="E6" i="4" s="1"/>
  <c r="D21" i="2"/>
  <c r="D6" i="4" s="1"/>
  <c r="C21" i="2"/>
  <c r="C6" i="4" s="1"/>
  <c r="B21" i="2"/>
  <c r="B6" i="4" s="1"/>
  <c r="B10" i="2"/>
  <c r="B7" i="3" s="1"/>
  <c r="B14" i="4" s="1"/>
  <c r="C7" i="2"/>
  <c r="C5" i="3" s="1"/>
  <c r="C8" i="4" l="1"/>
  <c r="C9" i="4" s="1"/>
  <c r="B8" i="4"/>
  <c r="B9" i="4" s="1"/>
  <c r="E8" i="4"/>
  <c r="E9" i="4" s="1"/>
  <c r="D8" i="4"/>
  <c r="D9" i="4" s="1"/>
  <c r="F33" i="2"/>
  <c r="F30" i="3" s="1"/>
  <c r="F42" i="3" s="1"/>
  <c r="E33" i="2"/>
  <c r="E30" i="3" s="1"/>
  <c r="E42" i="3" s="1"/>
  <c r="D33" i="2"/>
  <c r="D30" i="3" s="1"/>
  <c r="D42" i="3" s="1"/>
  <c r="D7" i="2"/>
  <c r="D10" i="2" s="1"/>
  <c r="D11" i="2" s="1"/>
  <c r="D9" i="3" s="1"/>
  <c r="C10" i="2"/>
  <c r="C12" i="3" s="1"/>
  <c r="F8" i="4"/>
  <c r="F9" i="4" s="1"/>
  <c r="B33" i="2"/>
  <c r="B11" i="3"/>
  <c r="B13" i="3"/>
  <c r="B15" i="3"/>
  <c r="C30" i="3"/>
  <c r="C42" i="3" s="1"/>
  <c r="B16" i="3"/>
  <c r="B12" i="3"/>
  <c r="B11" i="2"/>
  <c r="B9" i="3" s="1"/>
  <c r="B14" i="3"/>
  <c r="C11" i="4" l="1"/>
  <c r="C12" i="4" s="1"/>
  <c r="F5" i="4"/>
  <c r="E5" i="4"/>
  <c r="E11" i="4" s="1"/>
  <c r="E12" i="4" s="1"/>
  <c r="D5" i="4"/>
  <c r="D11" i="4" s="1"/>
  <c r="D12" i="4" s="1"/>
  <c r="F11" i="4"/>
  <c r="F12" i="4" s="1"/>
  <c r="C16" i="3"/>
  <c r="C7" i="3"/>
  <c r="C14" i="4" s="1"/>
  <c r="C15" i="4" s="1"/>
  <c r="C16" i="4" s="1"/>
  <c r="C14" i="3"/>
  <c r="E7" i="2"/>
  <c r="D13" i="3"/>
  <c r="D15" i="3"/>
  <c r="D11" i="3"/>
  <c r="D14" i="3"/>
  <c r="D5" i="3"/>
  <c r="D16" i="3"/>
  <c r="D7" i="3"/>
  <c r="D14" i="4" s="1"/>
  <c r="D12" i="3"/>
  <c r="D17" i="3" s="1"/>
  <c r="D18" i="3" s="1"/>
  <c r="C11" i="2"/>
  <c r="C9" i="3" s="1"/>
  <c r="C15" i="3"/>
  <c r="C11" i="3"/>
  <c r="C13" i="3"/>
  <c r="C17" i="3"/>
  <c r="C48" i="4" s="1"/>
  <c r="C18" i="4"/>
  <c r="B5" i="4"/>
  <c r="B30" i="3"/>
  <c r="B42" i="3" s="1"/>
  <c r="B47" i="4"/>
  <c r="B49" i="4" s="1"/>
  <c r="B40" i="3"/>
  <c r="B17" i="3"/>
  <c r="B18" i="3" s="1"/>
  <c r="E10" i="2"/>
  <c r="E5" i="3"/>
  <c r="F7" i="2"/>
  <c r="D40" i="3"/>
  <c r="D47" i="4"/>
  <c r="C18" i="3" l="1"/>
  <c r="C41" i="3"/>
  <c r="D18" i="4"/>
  <c r="D15" i="4"/>
  <c r="D16" i="4" s="1"/>
  <c r="C40" i="3"/>
  <c r="C47" i="4"/>
  <c r="B32" i="3"/>
  <c r="B19" i="3"/>
  <c r="B41" i="3"/>
  <c r="B48" i="4"/>
  <c r="B50" i="4" s="1"/>
  <c r="C50" i="4" s="1"/>
  <c r="C49" i="4"/>
  <c r="D19" i="3"/>
  <c r="D32" i="3"/>
  <c r="B11" i="4"/>
  <c r="D38" i="4"/>
  <c r="D35" i="4"/>
  <c r="D32" i="4"/>
  <c r="D29" i="4"/>
  <c r="D26" i="4"/>
  <c r="D23" i="4"/>
  <c r="D42" i="4"/>
  <c r="D39" i="4"/>
  <c r="D36" i="4"/>
  <c r="D33" i="4"/>
  <c r="D30" i="4"/>
  <c r="D27" i="4"/>
  <c r="D24" i="4"/>
  <c r="D40" i="4"/>
  <c r="D37" i="4"/>
  <c r="D34" i="4"/>
  <c r="D31" i="4"/>
  <c r="D28" i="4"/>
  <c r="D25" i="4"/>
  <c r="D22" i="4"/>
  <c r="D41" i="4"/>
  <c r="D41" i="3"/>
  <c r="D48" i="4"/>
  <c r="E7" i="3"/>
  <c r="E14" i="4" s="1"/>
  <c r="E16" i="3"/>
  <c r="E14" i="3"/>
  <c r="E12" i="3"/>
  <c r="E15" i="3"/>
  <c r="E13" i="3"/>
  <c r="E11" i="3"/>
  <c r="E11" i="2"/>
  <c r="E9" i="3" s="1"/>
  <c r="C19" i="3"/>
  <c r="C32" i="3"/>
  <c r="F10" i="2"/>
  <c r="F5" i="3"/>
  <c r="B51" i="4" l="1"/>
  <c r="E17" i="3"/>
  <c r="E48" i="4" s="1"/>
  <c r="H20" i="4"/>
  <c r="B12" i="4"/>
  <c r="B15" i="4"/>
  <c r="B16" i="4" s="1"/>
  <c r="B18" i="4"/>
  <c r="D33" i="3"/>
  <c r="D17" i="4"/>
  <c r="D43" i="3"/>
  <c r="E18" i="4"/>
  <c r="E15" i="4"/>
  <c r="E16" i="4" s="1"/>
  <c r="D49" i="4"/>
  <c r="C51" i="4"/>
  <c r="F16" i="3"/>
  <c r="F14" i="3"/>
  <c r="F12" i="3"/>
  <c r="F11" i="2"/>
  <c r="F9" i="3" s="1"/>
  <c r="F15" i="3"/>
  <c r="F13" i="3"/>
  <c r="F11" i="3"/>
  <c r="F7" i="3"/>
  <c r="F14" i="4" s="1"/>
  <c r="D50" i="4"/>
  <c r="C17" i="4"/>
  <c r="C43" i="3"/>
  <c r="C33" i="3"/>
  <c r="E18" i="3"/>
  <c r="E47" i="4"/>
  <c r="E40" i="3"/>
  <c r="B33" i="3"/>
  <c r="B35" i="3"/>
  <c r="B17" i="4"/>
  <c r="B43" i="3"/>
  <c r="E41" i="3" l="1"/>
  <c r="E50" i="4"/>
  <c r="F17" i="3"/>
  <c r="D51" i="4"/>
  <c r="E49" i="4"/>
  <c r="A40" i="4"/>
  <c r="A37" i="4"/>
  <c r="A34" i="4"/>
  <c r="A31" i="4"/>
  <c r="A28" i="4"/>
  <c r="A25" i="4"/>
  <c r="A22" i="4"/>
  <c r="A42" i="4"/>
  <c r="A39" i="4"/>
  <c r="A36" i="4"/>
  <c r="A33" i="4"/>
  <c r="A30" i="4"/>
  <c r="A27" i="4"/>
  <c r="A24" i="4"/>
  <c r="A41" i="4"/>
  <c r="A38" i="4"/>
  <c r="A35" i="4"/>
  <c r="A32" i="4"/>
  <c r="A29" i="4"/>
  <c r="A26" i="4"/>
  <c r="A23" i="4"/>
  <c r="B44" i="3"/>
  <c r="C35" i="3"/>
  <c r="E32" i="3"/>
  <c r="E19" i="3"/>
  <c r="F15" i="4"/>
  <c r="F16" i="4" s="1"/>
  <c r="F18" i="4"/>
  <c r="F48" i="4"/>
  <c r="F50" i="4" s="1"/>
  <c r="F41" i="3"/>
  <c r="F18" i="3"/>
  <c r="F40" i="3"/>
  <c r="F47" i="4"/>
  <c r="B23" i="4" l="1"/>
  <c r="C23" i="4"/>
  <c r="B34" i="4"/>
  <c r="C34" i="4"/>
  <c r="E33" i="3"/>
  <c r="E17" i="4"/>
  <c r="E43" i="3"/>
  <c r="B27" i="4"/>
  <c r="C27" i="4"/>
  <c r="B40" i="4"/>
  <c r="C40" i="4"/>
  <c r="B41" i="4"/>
  <c r="C41" i="4"/>
  <c r="C44" i="3"/>
  <c r="D35" i="3"/>
  <c r="B30" i="4"/>
  <c r="C30" i="4"/>
  <c r="E51" i="4"/>
  <c r="F49" i="4"/>
  <c r="F51" i="4" s="1"/>
  <c r="B36" i="4"/>
  <c r="C36" i="4"/>
  <c r="B39" i="4"/>
  <c r="C39" i="4"/>
  <c r="B26" i="4"/>
  <c r="C26" i="4"/>
  <c r="B42" i="4"/>
  <c r="C42" i="4"/>
  <c r="F32" i="3"/>
  <c r="F19" i="3"/>
  <c r="B29" i="4"/>
  <c r="C29" i="4"/>
  <c r="B22" i="4"/>
  <c r="C22" i="4"/>
  <c r="B32" i="4"/>
  <c r="C32" i="4"/>
  <c r="B25" i="4"/>
  <c r="C25" i="4"/>
  <c r="B35" i="4"/>
  <c r="C35" i="4"/>
  <c r="B28" i="4"/>
  <c r="C28" i="4"/>
  <c r="B38" i="4"/>
  <c r="C38" i="4"/>
  <c r="B31" i="4"/>
  <c r="C31" i="4"/>
  <c r="B24" i="4"/>
  <c r="C24" i="4"/>
  <c r="B37" i="4"/>
  <c r="C37" i="4"/>
  <c r="B33" i="4"/>
  <c r="C33" i="4"/>
  <c r="F17" i="4" l="1"/>
  <c r="F43" i="3"/>
  <c r="F33" i="3"/>
  <c r="D44" i="3"/>
  <c r="E35" i="3"/>
  <c r="F35" i="3" l="1"/>
  <c r="F44" i="3" s="1"/>
  <c r="E44" i="3"/>
</calcChain>
</file>

<file path=xl/sharedStrings.xml><?xml version="1.0" encoding="utf-8"?>
<sst xmlns="http://schemas.openxmlformats.org/spreadsheetml/2006/main" count="223" uniqueCount="185">
  <si>
    <t>BUSINESS PLAN SIMULATOR  |  HOW TO USE THIS TOOL</t>
  </si>
  <si>
    <t>Designed for VFU Business Students  —  Developed for Strategic Thinking &amp; Financial Analysis</t>
  </si>
  <si>
    <t xml:space="preserve">  ① WHAT IS THIS TOOL?</t>
  </si>
  <si>
    <t>This simulator helps you build a 5-year financial plan for your business idea — without doing manual accounting. You focus on STRATEGY: What is your target market? What price will you charge? How will your costs evolve? The tool automatically generates your Profit &amp; Loss Statement (P&amp;L), Break-Even Analysis (BEP), and Payback Period chart.</t>
  </si>
  <si>
    <t xml:space="preserve">  ② HOW TO USE — STEP BY STEP</t>
  </si>
  <si>
    <t xml:space="preserve">  STEP 1  —  Go to the "Inputs" sheet</t>
  </si>
  <si>
    <t>This is the ONLY sheet where you type numbers. All other sheets update automatically. Blue text on yellow background = your input cells.</t>
  </si>
  <si>
    <t xml:space="preserve">  STEP 2  —  Revenue Assumptions (Section 1)</t>
  </si>
  <si>
    <t>For each year, enter: (a) total market growth rate, (b) your target market share, (c) unit selling price. Year 1 market size is your starting estimate; Years 2-5 auto-calculate.</t>
  </si>
  <si>
    <t xml:space="preserve">  STEP 3  —  Variable Costs (Section 2)</t>
  </si>
  <si>
    <t>Enter the cost PER UNIT SOLD for each item, for each of the 5 years. These costs rise when you sell more and fall when you sell less.</t>
  </si>
  <si>
    <t xml:space="preserve">  STEP 4  —  Fixed Costs (Section 3)</t>
  </si>
  <si>
    <t>Enter the ANNUAL total for each fixed cost item, for each year. Fixed costs do NOT change with sales volume. Depreciation is automatically calculated from your investments and added here.</t>
  </si>
  <si>
    <t xml:space="preserve">  STEP 5  —  Investment (Section 4)</t>
  </si>
  <si>
    <t>Enter one-time investments for ANY year (Year 1 to Year 5). Investments ≥ USD 1,000 are automatically depreciated (1/5 per year from purchase year). Smaller investments are expensed in full in the purchase year. Both are automatically added to Fixed Costs — you do not need to enter them manually.</t>
  </si>
  <si>
    <t xml:space="preserve">  STEP 6  —  Read your results</t>
  </si>
  <si>
    <t>Open the "PL" sheet for your 5-year P&amp;L and charts. Open the "BEP" sheet for Break-Even and Payback Period analysis.</t>
  </si>
  <si>
    <t xml:space="preserve">  ③ COLOUR CODING GUIDE</t>
  </si>
  <si>
    <t xml:space="preserve">  BLUE TEXT on YELLOW background</t>
  </si>
  <si>
    <t>→ Your input cells — enter assumptions here</t>
  </si>
  <si>
    <t xml:space="preserve">  BLACK TEXT on GREEN background (Inputs sheet)</t>
  </si>
  <si>
    <t>→ Auto-calculated in same sheet — do not edit</t>
  </si>
  <si>
    <t xml:space="preserve">  BLUE-ITALIC TEXT on LIGHT BLUE (Inputs: Depreciation)</t>
  </si>
  <si>
    <t>→ Auto-calculated from your investment entries</t>
  </si>
  <si>
    <t xml:space="preserve">  BOLD TEXT on LIGHT GREEN background</t>
  </si>
  <si>
    <t>→ Key profit rows and BEP results</t>
  </si>
  <si>
    <t xml:space="preserve">  BOLD TEXT on LIGHT BLUE background</t>
  </si>
  <si>
    <t>→ Subtotal / Total rows</t>
  </si>
  <si>
    <t xml:space="preserve">  GREEN TEXT (in PL and BEP sheets)</t>
  </si>
  <si>
    <t>→ Values linked automatically from another sheet</t>
  </si>
  <si>
    <t xml:space="preserve">  ④ KEY CONCEPTS &amp; FORMULAS</t>
  </si>
  <si>
    <t xml:space="preserve">  Market Size × Market Share</t>
  </si>
  <si>
    <t>→ Units Sold  (your business volume each year)</t>
  </si>
  <si>
    <t xml:space="preserve">  Units Sold × Unit Price</t>
  </si>
  <si>
    <t>→ Revenue  (your total sales income)</t>
  </si>
  <si>
    <t xml:space="preserve">  Revenue − Total Variable Costs</t>
  </si>
  <si>
    <t>→ Gross Profit</t>
  </si>
  <si>
    <t xml:space="preserve">  Gross Profit − Total Fixed Costs</t>
  </si>
  <si>
    <t>→ Operating Profit / EBIT  (Fixed Costs include Depreciation)</t>
  </si>
  <si>
    <t xml:space="preserve">  Investment ≥ $1,000 ÷ 5 years</t>
  </si>
  <si>
    <t>→ Annual Depreciation  (auto-added to Fixed Costs)</t>
  </si>
  <si>
    <t xml:space="preserve">  Investment &lt; $1,000</t>
  </si>
  <si>
    <t>→ Expensed in full in the year of purchase  (auto-added to Fixed Costs)</t>
  </si>
  <si>
    <t xml:space="preserve">  Unit Price − Variable Cost per Unit</t>
  </si>
  <si>
    <t>→ Contribution Margin per Unit</t>
  </si>
  <si>
    <t xml:space="preserve">  Fixed Costs ÷ Contribution Margin / Unit</t>
  </si>
  <si>
    <t>→ BEP in Units  (minimum sales to break even)</t>
  </si>
  <si>
    <t xml:space="preserve">  BEP Units × Unit Price</t>
  </si>
  <si>
    <t>→ BEP in Revenue  ($)</t>
  </si>
  <si>
    <t xml:space="preserve">  Cumulative Revenue = Cumulative Costs</t>
  </si>
  <si>
    <t>→ Payback Year  (full cost recovery point)</t>
  </si>
  <si>
    <t xml:space="preserve">  ⑤ ANALYTICAL TIPS</t>
  </si>
  <si>
    <t>💡  JUSTIFY your assumptions. Why this growth rate? Why this market share? What is your evidence?</t>
  </si>
  <si>
    <t>💡  SCENARIO THINKING: What if price drops in Year 3? What if costs rise faster than expected? Model it.</t>
  </si>
  <si>
    <t>💡  If BEP &gt; your sales target, your business model needs redesigning — change STRATEGY, not just numbers.</t>
  </si>
  <si>
    <t>💡  Losses in Years 1-2 are normal for a start-up. The key question: WHEN does the business turn profitable?</t>
  </si>
  <si>
    <t>💡  Plan investments strategically. A large Year 3 investment increases depreciation in Years 3-5, raising your BEP.</t>
  </si>
  <si>
    <t>💡  Watch the PAYBACK chart — does cumulative revenue cross cumulative costs by Year 5?</t>
  </si>
  <si>
    <t>BUSINESS PLAN SIMULATOR — INPUT ASSUMPTIONS  (Enter values in the BLUE cells only)</t>
  </si>
  <si>
    <t>🔵 BLUE on YELLOW = your input  |  Green bg = auto-calculated  |  Blue-italic = depreciation (auto)  |  All values in USD ($)</t>
  </si>
  <si>
    <t xml:space="preserve">  SECTION 1 ►  MARKET &amp; REVENUE ASSUMPTIONS  (enter for each year separately)</t>
  </si>
  <si>
    <t>Item</t>
  </si>
  <si>
    <t>Year 1</t>
  </si>
  <si>
    <t>Year 2</t>
  </si>
  <si>
    <t>Year 3</t>
  </si>
  <si>
    <t>Year 4</t>
  </si>
  <si>
    <t>Year 5</t>
  </si>
  <si>
    <t>Notes / Guidance</t>
  </si>
  <si>
    <t>Market Growth Rate (%)</t>
  </si>
  <si>
    <t>— Base Year —</t>
  </si>
  <si>
    <t>Annual growth of the TOTAL market vs. prior year (e.g. 0.10 = 10%)</t>
  </si>
  <si>
    <t>Total Market Size (units)</t>
  </si>
  <si>
    <t>Year 1: your estimate of the WHOLE market. Years 2-5: auto from growth rate.</t>
  </si>
  <si>
    <t>Your Target Market Share (%)</t>
  </si>
  <si>
    <t>What % of the total market will YOUR business capture?</t>
  </si>
  <si>
    <t>Unit Selling Price (USD)</t>
  </si>
  <si>
    <t>Your price per unit. Can change each year.</t>
  </si>
  <si>
    <t xml:space="preserve">  ▶ Units Sold  [AUTO]</t>
  </si>
  <si>
    <t>AUTO: Market Size × Market Share.</t>
  </si>
  <si>
    <t xml:space="preserve">  ▶ REVENUE ($)  [AUTO]</t>
  </si>
  <si>
    <t>AUTO: Units Sold × Unit Price.</t>
  </si>
  <si>
    <t xml:space="preserve">  SECTION 2 ►  VARIABLE COSTS  (cost per unit sold, USD — enter for each year separately)</t>
  </si>
  <si>
    <t>Cost Item</t>
  </si>
  <si>
    <t>Year 1
($ / unit)</t>
  </si>
  <si>
    <t>Year 2
($ / unit)</t>
  </si>
  <si>
    <t>Year 3
($ / unit)</t>
  </si>
  <si>
    <t>Year 4
($ / unit)</t>
  </si>
  <si>
    <t>Year 5
($ / unit)</t>
  </si>
  <si>
    <t>Notes</t>
  </si>
  <si>
    <t>Raw Materials / Cost of Goods</t>
  </si>
  <si>
    <t>Direct material &amp; production cost per unit sold</t>
  </si>
  <si>
    <t>Marketing &amp; Promotion</t>
  </si>
  <si>
    <t>Variable marketing spend per unit</t>
  </si>
  <si>
    <t>Distribution / Logistics</t>
  </si>
  <si>
    <t>Shipping, delivery &amp; handling per unit</t>
  </si>
  <si>
    <t>← Add your own variable cost item here</t>
  </si>
  <si>
    <t xml:space="preserve">  ▶ Total Variable Cost per Unit  [AUTO]</t>
  </si>
  <si>
    <t>AUTO: Sum of all variable cost items above.</t>
  </si>
  <si>
    <t xml:space="preserve">  SECTION 3 ►  FIXED COSTS  (annual total, USD — enter for each year separately)</t>
  </si>
  <si>
    <t>Year 1
($ / year)</t>
  </si>
  <si>
    <t>Year 2
($ / year)</t>
  </si>
  <si>
    <t>Year 3
($ / year)</t>
  </si>
  <si>
    <t>Year 4
($ / year)</t>
  </si>
  <si>
    <t>Year 5
($ / year)</t>
  </si>
  <si>
    <t>Rent / Office Space</t>
  </si>
  <si>
    <t>Annual rent. Increase if you expand premises.</t>
  </si>
  <si>
    <t>Staff Salaries (total)</t>
  </si>
  <si>
    <t>All employees combined. Rises as you hire more.</t>
  </si>
  <si>
    <t>Utilities &amp; Communications</t>
  </si>
  <si>
    <t>Electricity, internet, phone — full year total.</t>
  </si>
  <si>
    <t>Insurance</t>
  </si>
  <si>
    <t>Business insurance premium — annual.</t>
  </si>
  <si>
    <t>← Add your own fixed cost item here</t>
  </si>
  <si>
    <t xml:space="preserve">  ▶ Depreciation &amp; Investment Expense  [AUTO]</t>
  </si>
  <si>
    <t>AUTO: From Section 4 below. Items ≥ $1,000 → 1/5 per year from purchase year. Items &lt; $1,000 → full amount in purchase year.</t>
  </si>
  <si>
    <t xml:space="preserve">  ▶ Total Fixed Costs incl. Depreciation  [AUTO]</t>
  </si>
  <si>
    <t>AUTO: Sum of all fixed costs + depreciation above.</t>
  </si>
  <si>
    <t xml:space="preserve">  SECTION 4 ►  INVESTMENT  (enter in the year the investment is made)</t>
  </si>
  <si>
    <t>⚠  RULE: Investments ≥ USD 1,000 → depreciated straight-line over 5 years from purchase year (annual depreciation = amount ÷ 5).  Investments &lt; USD 1,000 → expensed in full in purchase year.  Both are automatically included in Fixed Costs above — no manual entry needed.</t>
  </si>
  <si>
    <t>Investment Item</t>
  </si>
  <si>
    <t>Year 1
(USD)</t>
  </si>
  <si>
    <t>Year 2
(USD)</t>
  </si>
  <si>
    <t>Year 3
(USD)</t>
  </si>
  <si>
    <t>Year 4
(USD)</t>
  </si>
  <si>
    <t>Year 5
(USD)</t>
  </si>
  <si>
    <t>Equipment / Machinery</t>
  </si>
  <si>
    <t>Production equipment, tools, machinery</t>
  </si>
  <si>
    <t>Computer / Technology</t>
  </si>
  <si>
    <t>Laptops, software licences, IT setup</t>
  </si>
  <si>
    <t>Furniture &amp; Fixtures</t>
  </si>
  <si>
    <t>Desks, chairs, shelving, displays</t>
  </si>
  <si>
    <t>← Add your own investment item here</t>
  </si>
  <si>
    <t xml:space="preserve">  ▶ Total Investment per Year  [AUTO]</t>
  </si>
  <si>
    <t>PROFIT &amp; LOSS STATEMENT — 5-YEAR PROJECTION  (Auto-calculated from Inputs sheet)</t>
  </si>
  <si>
    <t>All values in USD ($).  Do NOT type in this sheet — change assumptions in Inputs only.</t>
  </si>
  <si>
    <t xml:space="preserve">  REVENUE</t>
  </si>
  <si>
    <t xml:space="preserve">  Total Market Size (units)</t>
  </si>
  <si>
    <t xml:space="preserve">  Market Share (%)</t>
  </si>
  <si>
    <t xml:space="preserve">  Units Sold</t>
  </si>
  <si>
    <t xml:space="preserve">  Unit Selling Price (USD)</t>
  </si>
  <si>
    <t>REVENUE</t>
  </si>
  <si>
    <t xml:space="preserve">  VARIABLE COSTS  (cost per unit × units sold)</t>
  </si>
  <si>
    <t>Total Variable Costs</t>
  </si>
  <si>
    <t>GROSS PROFIT</t>
  </si>
  <si>
    <t xml:space="preserve">  Gross Margin (%)</t>
  </si>
  <si>
    <t xml:space="preserve">  FIXED COSTS  (including Depreciation — auto-calculated from Inputs)</t>
  </si>
  <si>
    <t xml:space="preserve">  Depreciation &amp; Investment Expense  [AUTO]</t>
  </si>
  <si>
    <t>Total Fixed Costs incl. Depreciation</t>
  </si>
  <si>
    <t>OPERATING PROFIT  (EBIT)</t>
  </si>
  <si>
    <t xml:space="preserve">  Operating Margin (%)</t>
  </si>
  <si>
    <t>Cumulative Operating Profit</t>
  </si>
  <si>
    <t>— Chart Data —</t>
  </si>
  <si>
    <t>Revenue</t>
  </si>
  <si>
    <t>Variable Costs</t>
  </si>
  <si>
    <t>Fixed Costs incl. Depr</t>
  </si>
  <si>
    <t>Op. Profit</t>
  </si>
  <si>
    <t>Cumul. Profit</t>
  </si>
  <si>
    <t>BREAK-EVEN POINT (BEP) ANALYSIS — 5-YEAR VIEW</t>
  </si>
  <si>
    <t>BEP = minimum units you must sell to cover ALL costs.  Above BEP = profit.  Below BEP = loss.</t>
  </si>
  <si>
    <t xml:space="preserve">  COST STRUCTURE</t>
  </si>
  <si>
    <t>Variable Cost per Unit</t>
  </si>
  <si>
    <t>Unit Selling Price</t>
  </si>
  <si>
    <t>Contribution Margin per Unit  (Price − VC)</t>
  </si>
  <si>
    <t xml:space="preserve">  Contribution Margin Ratio (%)</t>
  </si>
  <si>
    <t xml:space="preserve">  BREAK-EVEN POINT</t>
  </si>
  <si>
    <t>🎯  Minimum Units to Sell  (BEP)</t>
  </si>
  <si>
    <t>🎯  Minimum Revenue to Achieve  (BEP $)</t>
  </si>
  <si>
    <t xml:space="preserve">  YOUR PERFORMANCE vs. BEP</t>
  </si>
  <si>
    <t>Your Target Units Sold</t>
  </si>
  <si>
    <t>Safety Margin (Units above BEP)</t>
  </si>
  <si>
    <t>Safety Margin (%)</t>
  </si>
  <si>
    <t>Operating Profit (EBIT)</t>
  </si>
  <si>
    <t>Status</t>
  </si>
  <si>
    <t>— BEP Chart Data Year 1 —</t>
  </si>
  <si>
    <t>Units</t>
  </si>
  <si>
    <t>Total Revenue ($)</t>
  </si>
  <si>
    <t>Total Costs ($)</t>
  </si>
  <si>
    <t>Fixed Costs ($)</t>
  </si>
  <si>
    <t xml:space="preserve">  PAYBACK PERIOD — CUMULATIVE REVENUE vs. CUMULATIVE TOTAL COSTS</t>
  </si>
  <si>
    <t>The crossing point = PAYBACK YEAR: when cumulative revenue first exceeds cumulative costs. Revenue above costs = the business has recovered all its investment and running costs since launch.</t>
  </si>
  <si>
    <t xml:space="preserve">  Annual Revenue</t>
  </si>
  <si>
    <t xml:space="preserve">  Annual Total Costs  (Variable + Fixed + Depreciation)</t>
  </si>
  <si>
    <t xml:space="preserve">  Cumulative Revenue  [AUTO]</t>
  </si>
  <si>
    <t xml:space="preserve">  Cumulative Total Costs  [AUTO]</t>
  </si>
  <si>
    <t xml:space="preserve">  Payback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</si>
</sst>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%"/>
    <numFmt numFmtId="177" formatCode="\$#,##0.00"/>
    <numFmt numFmtId="178" formatCode="\$#,##0"/>
  </numFmts>
  <fonts count="29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i/>
      <sz val="10"/>
      <color rgb="FF555555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color rgb="FF1F3864"/>
      <name val="Arial"/>
      <family val="2"/>
    </font>
    <font>
      <b/>
      <sz val="10"/>
      <color rgb="FF0000FF"/>
      <name val="Arial"/>
      <family val="2"/>
    </font>
    <font>
      <sz val="10"/>
      <color rgb="FF000000"/>
      <name val="Arial"/>
      <family val="2"/>
    </font>
    <font>
      <b/>
      <sz val="10"/>
      <color rgb="FF1F497D"/>
      <name val="Arial"/>
      <family val="2"/>
    </font>
    <font>
      <b/>
      <sz val="10"/>
      <color rgb="FF000000"/>
      <name val="Arial"/>
      <family val="2"/>
    </font>
    <font>
      <sz val="10"/>
      <color rgb="FF006600"/>
      <name val="Arial"/>
      <family val="2"/>
    </font>
    <font>
      <b/>
      <i/>
      <sz val="9"/>
      <color rgb="FFCC4400"/>
      <name val="Arial"/>
      <family val="2"/>
    </font>
    <font>
      <i/>
      <sz val="9"/>
      <color rgb="FF999999"/>
      <name val="Arial"/>
      <family val="2"/>
    </font>
    <font>
      <i/>
      <sz val="9"/>
      <color rgb="FF888888"/>
      <name val="Arial"/>
      <family val="2"/>
    </font>
    <font>
      <b/>
      <i/>
      <sz val="10"/>
      <color rgb="FF000000"/>
      <name val="Arial"/>
      <family val="2"/>
    </font>
    <font>
      <b/>
      <i/>
      <sz val="10"/>
      <color rgb="FF1F497D"/>
      <name val="Arial"/>
      <family val="2"/>
    </font>
    <font>
      <b/>
      <i/>
      <sz val="9"/>
      <color rgb="FFCC0000"/>
      <name val="Arial"/>
      <family val="2"/>
    </font>
    <font>
      <i/>
      <sz val="9"/>
      <color rgb="FF555555"/>
      <name val="Arial"/>
      <family val="2"/>
    </font>
    <font>
      <i/>
      <sz val="10"/>
      <color rgb="FF000000"/>
      <name val="Arial"/>
      <family val="2"/>
    </font>
    <font>
      <sz val="10"/>
      <color rgb="FF1F497D"/>
      <name val="Arial"/>
      <family val="2"/>
    </font>
    <font>
      <sz val="8"/>
      <color rgb="FFCCCCCC"/>
      <name val="Cambria"/>
      <family val="1"/>
    </font>
    <font>
      <b/>
      <sz val="8"/>
      <name val="Cambria"/>
      <family val="1"/>
    </font>
    <font>
      <sz val="8"/>
      <name val="Cambria"/>
      <family val="1"/>
    </font>
    <font>
      <i/>
      <sz val="9"/>
      <color rgb="FF444444"/>
      <name val="Arial"/>
      <family val="2"/>
    </font>
    <font>
      <b/>
      <sz val="10"/>
      <name val="Arial"/>
      <family val="2"/>
    </font>
    <font>
      <sz val="8"/>
      <color rgb="FFEEEEEE"/>
      <name val="Cambria"/>
      <family val="1"/>
    </font>
    <font>
      <b/>
      <sz val="9"/>
      <name val="Cambria"/>
      <family val="1"/>
    </font>
    <font>
      <sz val="8"/>
      <color rgb="FFAAAAAA"/>
      <name val="Cambria"/>
      <family val="1"/>
    </font>
    <font>
      <sz val="6"/>
      <name val="AiharaHudemojiKaishoFree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1F497D"/>
      </patternFill>
    </fill>
    <fill>
      <patternFill patternType="solid">
        <fgColor rgb="FF2E75B6"/>
        <bgColor rgb="FF4472C4"/>
      </patternFill>
    </fill>
    <fill>
      <patternFill patternType="solid">
        <fgColor rgb="FFFFF2CC"/>
        <bgColor rgb="FFFCE4D6"/>
      </patternFill>
    </fill>
    <fill>
      <patternFill patternType="solid">
        <fgColor rgb="FFEBF3E8"/>
        <bgColor rgb="FFEEEEEE"/>
      </patternFill>
    </fill>
    <fill>
      <patternFill patternType="solid">
        <fgColor rgb="FFEAF0FB"/>
        <bgColor rgb="FFEEEEEE"/>
      </patternFill>
    </fill>
    <fill>
      <patternFill patternType="solid">
        <fgColor rgb="FFE2EFDA"/>
        <bgColor rgb="FFEBF3E8"/>
      </patternFill>
    </fill>
    <fill>
      <patternFill patternType="solid">
        <fgColor rgb="FFD9E1F2"/>
        <bgColor rgb="FFD9D9D9"/>
      </patternFill>
    </fill>
    <fill>
      <patternFill patternType="solid">
        <fgColor rgb="FFFFFFFF"/>
        <bgColor rgb="FFF9F9F9"/>
      </patternFill>
    </fill>
    <fill>
      <patternFill patternType="solid">
        <fgColor rgb="FF4472C4"/>
        <bgColor rgb="FF4A7EBB"/>
      </patternFill>
    </fill>
    <fill>
      <patternFill patternType="solid">
        <fgColor rgb="FFF2F2F2"/>
        <bgColor rgb="FFEEEEEE"/>
      </patternFill>
    </fill>
    <fill>
      <patternFill patternType="solid">
        <fgColor rgb="FFFCE4D6"/>
        <bgColor rgb="FFFFF2CC"/>
      </patternFill>
    </fill>
    <fill>
      <patternFill patternType="solid">
        <fgColor rgb="FFD9D9D9"/>
        <b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 indent="1"/>
    </xf>
    <xf numFmtId="0" fontId="6" fillId="4" borderId="0" xfId="0" applyFont="1" applyFill="1" applyAlignment="1">
      <alignment vertical="center" indent="1"/>
    </xf>
    <xf numFmtId="0" fontId="4" fillId="0" borderId="0" xfId="0" applyFont="1" applyAlignment="1">
      <alignment vertical="center"/>
    </xf>
    <xf numFmtId="0" fontId="7" fillId="5" borderId="0" xfId="0" applyFont="1" applyFill="1" applyAlignment="1">
      <alignment vertical="center" indent="1"/>
    </xf>
    <xf numFmtId="0" fontId="8" fillId="6" borderId="0" xfId="0" applyFont="1" applyFill="1" applyAlignment="1">
      <alignment vertical="center" indent="1"/>
    </xf>
    <xf numFmtId="0" fontId="9" fillId="7" borderId="0" xfId="0" applyFont="1" applyFill="1" applyAlignment="1">
      <alignment vertical="center" indent="1"/>
    </xf>
    <xf numFmtId="0" fontId="9" fillId="8" borderId="0" xfId="0" applyFont="1" applyFill="1" applyAlignment="1">
      <alignment vertical="center" indent="1"/>
    </xf>
    <xf numFmtId="0" fontId="10" fillId="9" borderId="0" xfId="0" applyFont="1" applyFill="1" applyAlignment="1">
      <alignment vertical="center" indent="1"/>
    </xf>
    <xf numFmtId="0" fontId="5" fillId="0" borderId="0" xfId="0" applyFont="1" applyAlignment="1">
      <alignment vertical="center" indent="1"/>
    </xf>
    <xf numFmtId="0" fontId="3" fillId="10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left" vertical="center" indent="1"/>
    </xf>
    <xf numFmtId="0" fontId="12" fillId="11" borderId="0" xfId="0" applyFont="1" applyFill="1" applyAlignment="1">
      <alignment horizontal="center" vertical="center"/>
    </xf>
    <xf numFmtId="176" fontId="6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 wrapText="1"/>
    </xf>
    <xf numFmtId="3" fontId="6" fillId="4" borderId="1" xfId="0" applyNumberFormat="1" applyFont="1" applyFill="1" applyBorder="1" applyAlignment="1">
      <alignment horizontal="right" vertical="center"/>
    </xf>
    <xf numFmtId="3" fontId="7" fillId="5" borderId="1" xfId="0" applyNumberFormat="1" applyFont="1" applyFill="1" applyBorder="1" applyAlignment="1">
      <alignment horizontal="right" vertical="center"/>
    </xf>
    <xf numFmtId="177" fontId="6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 indent="1"/>
    </xf>
    <xf numFmtId="3" fontId="9" fillId="5" borderId="1" xfId="0" applyNumberFormat="1" applyFont="1" applyFill="1" applyBorder="1" applyAlignment="1">
      <alignment horizontal="right" vertical="center"/>
    </xf>
    <xf numFmtId="178" fontId="9" fillId="7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 indent="2"/>
    </xf>
    <xf numFmtId="177" fontId="0" fillId="4" borderId="1" xfId="0" applyNumberFormat="1" applyFill="1" applyBorder="1" applyAlignment="1">
      <alignment horizontal="right" vertical="center"/>
    </xf>
    <xf numFmtId="177" fontId="9" fillId="5" borderId="1" xfId="0" applyNumberFormat="1" applyFont="1" applyFill="1" applyBorder="1" applyAlignment="1">
      <alignment horizontal="right" vertical="center"/>
    </xf>
    <xf numFmtId="178" fontId="6" fillId="4" borderId="1" xfId="0" applyNumberFormat="1" applyFont="1" applyFill="1" applyBorder="1" applyAlignment="1">
      <alignment horizontal="right" vertical="center"/>
    </xf>
    <xf numFmtId="178" fontId="0" fillId="4" borderId="1" xfId="0" applyNumberFormat="1" applyFill="1" applyBorder="1" applyAlignment="1">
      <alignment horizontal="right" vertical="center"/>
    </xf>
    <xf numFmtId="0" fontId="14" fillId="0" borderId="0" xfId="0" applyFont="1" applyAlignment="1">
      <alignment horizontal="left" vertical="center" indent="1"/>
    </xf>
    <xf numFmtId="178" fontId="15" fillId="6" borderId="1" xfId="0" applyNumberFormat="1" applyFont="1" applyFill="1" applyBorder="1" applyAlignment="1">
      <alignment horizontal="right" vertical="center"/>
    </xf>
    <xf numFmtId="178" fontId="9" fillId="8" borderId="1" xfId="0" applyNumberFormat="1" applyFont="1" applyFill="1" applyBorder="1" applyAlignment="1">
      <alignment horizontal="right" vertical="center"/>
    </xf>
    <xf numFmtId="3" fontId="10" fillId="0" borderId="0" xfId="0" applyNumberFormat="1" applyFont="1" applyAlignment="1">
      <alignment horizontal="right" vertical="center"/>
    </xf>
    <xf numFmtId="176" fontId="10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left" vertical="center" indent="2"/>
    </xf>
    <xf numFmtId="177" fontId="10" fillId="0" borderId="0" xfId="0" applyNumberFormat="1" applyFont="1" applyAlignment="1">
      <alignment horizontal="right" vertical="center"/>
    </xf>
    <xf numFmtId="178" fontId="10" fillId="0" borderId="0" xfId="0" applyNumberFormat="1" applyFont="1" applyAlignment="1">
      <alignment horizontal="right" vertical="center"/>
    </xf>
    <xf numFmtId="0" fontId="18" fillId="0" borderId="0" xfId="0" applyFont="1" applyAlignment="1">
      <alignment horizontal="left" vertical="center" indent="2"/>
    </xf>
    <xf numFmtId="176" fontId="18" fillId="0" borderId="0" xfId="0" applyNumberFormat="1" applyFont="1" applyAlignment="1">
      <alignment horizontal="right" vertical="center"/>
    </xf>
    <xf numFmtId="0" fontId="15" fillId="0" borderId="0" xfId="0" applyFont="1" applyAlignment="1">
      <alignment horizontal="left" vertical="center" indent="2"/>
    </xf>
    <xf numFmtId="178" fontId="19" fillId="6" borderId="1" xfId="0" applyNumberFormat="1" applyFont="1" applyFill="1" applyBorder="1" applyAlignment="1">
      <alignment horizontal="right" vertical="center"/>
    </xf>
    <xf numFmtId="178" fontId="14" fillId="13" borderId="1" xfId="0" applyNumberFormat="1" applyFont="1" applyFill="1" applyBorder="1" applyAlignment="1">
      <alignment horizontal="right" vertical="center"/>
    </xf>
    <xf numFmtId="0" fontId="20" fillId="0" borderId="0" xfId="0" applyFont="1"/>
    <xf numFmtId="0" fontId="21" fillId="0" borderId="0" xfId="0" applyFont="1"/>
    <xf numFmtId="0" fontId="22" fillId="0" borderId="0" xfId="0" applyFont="1"/>
    <xf numFmtId="178" fontId="22" fillId="0" borderId="0" xfId="0" applyNumberFormat="1" applyFont="1"/>
    <xf numFmtId="177" fontId="9" fillId="7" borderId="1" xfId="0" applyNumberFormat="1" applyFont="1" applyFill="1" applyBorder="1" applyAlignment="1">
      <alignment horizontal="right" vertical="center"/>
    </xf>
    <xf numFmtId="3" fontId="9" fillId="7" borderId="1" xfId="0" applyNumberFormat="1" applyFont="1" applyFill="1" applyBorder="1" applyAlignment="1">
      <alignment horizontal="right" vertical="center"/>
    </xf>
    <xf numFmtId="3" fontId="7" fillId="0" borderId="0" xfId="0" applyNumberFormat="1" applyFont="1" applyAlignment="1">
      <alignment horizontal="right"/>
    </xf>
    <xf numFmtId="0" fontId="24" fillId="0" borderId="0" xfId="0" applyFont="1" applyAlignment="1">
      <alignment horizontal="center" vertical="center"/>
    </xf>
    <xf numFmtId="0" fontId="25" fillId="0" borderId="0" xfId="0" applyFont="1"/>
    <xf numFmtId="0" fontId="26" fillId="0" borderId="0" xfId="0" applyFont="1" applyAlignment="1">
      <alignment horizontal="center"/>
    </xf>
    <xf numFmtId="3" fontId="22" fillId="0" borderId="0" xfId="0" applyNumberFormat="1" applyFont="1"/>
    <xf numFmtId="0" fontId="3" fillId="10" borderId="0" xfId="0" applyFont="1" applyFill="1" applyAlignment="1">
      <alignment horizontal="left" vertical="center" indent="1"/>
    </xf>
    <xf numFmtId="0" fontId="27" fillId="0" borderId="0" xfId="0" applyFont="1"/>
    <xf numFmtId="0" fontId="4" fillId="0" borderId="0" xfId="0" applyFont="1" applyAlignment="1">
      <alignment vertical="center" wrapText="1"/>
    </xf>
    <xf numFmtId="0" fontId="3" fillId="3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vertical="top" wrapText="1"/>
    </xf>
    <xf numFmtId="0" fontId="16" fillId="12" borderId="0" xfId="0" applyFont="1" applyFill="1" applyAlignment="1">
      <alignment horizontal="left" vertical="center" wrapText="1"/>
    </xf>
    <xf numFmtId="0" fontId="11" fillId="4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3" fillId="0" borderId="0" xfId="0" applyFont="1" applyAlignment="1">
      <alignment vertical="center" wrapText="1"/>
    </xf>
    <xf numFmtId="0" fontId="23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9F9F9"/>
      <rgbColor rgb="FFFF00FF"/>
      <rgbColor rgb="FF00FFFF"/>
      <rgbColor rgb="FFCC0000"/>
      <rgbColor rgb="FF006600"/>
      <rgbColor rgb="FF000080"/>
      <rgbColor rgb="FF70AD47"/>
      <rgbColor rgb="FF800080"/>
      <rgbColor rgb="FF4F81BD"/>
      <rgbColor rgb="FFCCCCCC"/>
      <rgbColor rgb="FF878787"/>
      <rgbColor rgb="FFAAAAAA"/>
      <rgbColor rgb="FFBE4B48"/>
      <rgbColor rgb="FFFFF2CC"/>
      <rgbColor rgb="FFEAF0FB"/>
      <rgbColor rgb="FF660066"/>
      <rgbColor rgb="FFFF8080"/>
      <rgbColor rgb="FF2E75B6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E8"/>
      <rgbColor rgb="FFE2EFDA"/>
      <rgbColor rgb="FFF2F2F2"/>
      <rgbColor rgb="FFD9E1F2"/>
      <rgbColor rgb="FFEEEEEE"/>
      <rgbColor rgb="FF888888"/>
      <rgbColor rgb="FFFCE4D6"/>
      <rgbColor rgb="FF4472C4"/>
      <rgbColor rgb="FF33CCCC"/>
      <rgbColor rgb="FF98B855"/>
      <rgbColor rgb="FF9BBB59"/>
      <rgbColor rgb="FFFF9900"/>
      <rgbColor rgb="FFED7D31"/>
      <rgbColor rgb="FF8064A2"/>
      <rgbColor rgb="FF999999"/>
      <rgbColor rgb="FF1F3864"/>
      <rgbColor rgb="FF4A7EBB"/>
      <rgbColor rgb="FF003300"/>
      <rgbColor rgb="FF555555"/>
      <rgbColor rgb="FFCC4400"/>
      <rgbColor rgb="FFC0504D"/>
      <rgbColor rgb="FF1F497D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5-Year: Revenue vs. Costs vs. Operating Profit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PL!$B$39:$F$39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PL!$B$40:$F$40</c:f>
              <c:numCache>
                <c:formatCode>\$#,##0</c:formatCode>
                <c:ptCount val="5"/>
                <c:pt idx="0">
                  <c:v>75000</c:v>
                </c:pt>
                <c:pt idx="1">
                  <c:v>110250</c:v>
                </c:pt>
                <c:pt idx="2">
                  <c:v>680400</c:v>
                </c:pt>
                <c:pt idx="3">
                  <c:v>935550</c:v>
                </c:pt>
                <c:pt idx="4">
                  <c:v>2008300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13-134D-8A8D-21A7E68B7505}"/>
            </c:ext>
          </c:extLst>
        </c:ser>
        <c:ser>
          <c:idx val="1"/>
          <c:order val="1"/>
          <c:tx>
            <c:v>Variable Costs</c:v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PL!$B$39:$F$39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PL!$B$41:$F$41</c:f>
              <c:numCache>
                <c:formatCode>\$#,##0</c:formatCode>
                <c:ptCount val="5"/>
                <c:pt idx="0">
                  <c:v>57500</c:v>
                </c:pt>
                <c:pt idx="1">
                  <c:v>84525</c:v>
                </c:pt>
                <c:pt idx="2">
                  <c:v>260820</c:v>
                </c:pt>
                <c:pt idx="3">
                  <c:v>358627.5</c:v>
                </c:pt>
                <c:pt idx="4">
                  <c:v>659870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13-134D-8A8D-21A7E68B7505}"/>
            </c:ext>
          </c:extLst>
        </c:ser>
        <c:ser>
          <c:idx val="2"/>
          <c:order val="2"/>
          <c:tx>
            <c:v>Fixed Costs incl. Depr</c:v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PL!$B$39:$F$39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PL!$B$42:$F$42</c:f>
              <c:numCache>
                <c:formatCode>\$#,##0</c:formatCode>
                <c:ptCount val="5"/>
                <c:pt idx="0">
                  <c:v>71300</c:v>
                </c:pt>
                <c:pt idx="1">
                  <c:v>71300</c:v>
                </c:pt>
                <c:pt idx="2">
                  <c:v>72300</c:v>
                </c:pt>
                <c:pt idx="3">
                  <c:v>84300</c:v>
                </c:pt>
                <c:pt idx="4">
                  <c:v>85300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13-134D-8A8D-21A7E68B7505}"/>
            </c:ext>
          </c:extLst>
        </c:ser>
        <c:ser>
          <c:idx val="3"/>
          <c:order val="3"/>
          <c:tx>
            <c:v>Op. Profit</c:v>
          </c:tx>
          <c:spPr>
            <a:solidFill>
              <a:srgbClr val="8064A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PL!$B$39:$F$39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PL!$B$43:$F$43</c:f>
              <c:numCache>
                <c:formatCode>\$#,##0</c:formatCode>
                <c:ptCount val="5"/>
                <c:pt idx="0">
                  <c:v>-53800</c:v>
                </c:pt>
                <c:pt idx="1">
                  <c:v>-45575</c:v>
                </c:pt>
                <c:pt idx="2">
                  <c:v>347280</c:v>
                </c:pt>
                <c:pt idx="3">
                  <c:v>492622.5</c:v>
                </c:pt>
                <c:pt idx="4">
                  <c:v>1263130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413-134D-8A8D-21A7E68B75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876995"/>
        <c:axId val="19078872"/>
      </c:barChart>
      <c:catAx>
        <c:axId val="528769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19078872"/>
        <c:crosses val="autoZero"/>
        <c:auto val="1"/>
        <c:lblAlgn val="ctr"/>
        <c:lblOffset val="100"/>
        <c:noMultiLvlLbl val="0"/>
      </c:catAx>
      <c:valAx>
        <c:axId val="190788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USD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5287699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ja-JP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Cumulative Profit Trajectory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Cumulative Profit</c:v>
          </c:tx>
          <c:spPr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PL!$B$39:$F$39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PL!$B$44:$F$44</c:f>
              <c:numCache>
                <c:formatCode>\$#,##0</c:formatCode>
                <c:ptCount val="5"/>
                <c:pt idx="0">
                  <c:v>-53800</c:v>
                </c:pt>
                <c:pt idx="1">
                  <c:v>-99375</c:v>
                </c:pt>
                <c:pt idx="2">
                  <c:v>247905</c:v>
                </c:pt>
                <c:pt idx="3">
                  <c:v>740527.5</c:v>
                </c:pt>
                <c:pt idx="4">
                  <c:v>2003657.5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12-6043-B8B6-69E8ED4C0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532308"/>
        <c:axId val="72919169"/>
      </c:lineChart>
      <c:catAx>
        <c:axId val="505323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72919169"/>
        <c:crosses val="autoZero"/>
        <c:auto val="1"/>
        <c:lblAlgn val="ctr"/>
        <c:lblOffset val="100"/>
        <c:noMultiLvlLbl val="0"/>
      </c:catAx>
      <c:valAx>
        <c:axId val="729191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USD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5053230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ja-JP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Break-Even Analysis — Year 1  (updates with your inputs)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Total Revenue</c:v>
          </c:tx>
          <c:spPr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BEP!$B$22:$B$42</c:f>
              <c:numCache>
                <c:formatCode>#,##0</c:formatCode>
                <c:ptCount val="21"/>
                <c:pt idx="0">
                  <c:v>0</c:v>
                </c:pt>
                <c:pt idx="1">
                  <c:v>30600</c:v>
                </c:pt>
                <c:pt idx="2">
                  <c:v>61200</c:v>
                </c:pt>
                <c:pt idx="3">
                  <c:v>91800</c:v>
                </c:pt>
                <c:pt idx="4">
                  <c:v>122400</c:v>
                </c:pt>
                <c:pt idx="5">
                  <c:v>153000</c:v>
                </c:pt>
                <c:pt idx="6">
                  <c:v>183600</c:v>
                </c:pt>
                <c:pt idx="7">
                  <c:v>214200</c:v>
                </c:pt>
                <c:pt idx="8">
                  <c:v>244800</c:v>
                </c:pt>
                <c:pt idx="9">
                  <c:v>275400</c:v>
                </c:pt>
                <c:pt idx="10">
                  <c:v>306000</c:v>
                </c:pt>
                <c:pt idx="11">
                  <c:v>336600</c:v>
                </c:pt>
                <c:pt idx="12">
                  <c:v>367200</c:v>
                </c:pt>
                <c:pt idx="13">
                  <c:v>397800</c:v>
                </c:pt>
                <c:pt idx="14">
                  <c:v>428400</c:v>
                </c:pt>
                <c:pt idx="15">
                  <c:v>459000</c:v>
                </c:pt>
                <c:pt idx="16">
                  <c:v>489600</c:v>
                </c:pt>
                <c:pt idx="17">
                  <c:v>520200</c:v>
                </c:pt>
                <c:pt idx="18">
                  <c:v>550800</c:v>
                </c:pt>
                <c:pt idx="19">
                  <c:v>581400</c:v>
                </c:pt>
                <c:pt idx="20">
                  <c:v>612000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CDC-1146-A826-B80C614BA8E2}"/>
            </c:ext>
          </c:extLst>
        </c:ser>
        <c:ser>
          <c:idx val="1"/>
          <c:order val="1"/>
          <c:tx>
            <c:v>Total Costs</c:v>
          </c:tx>
          <c:spPr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BEP!$C$22:$C$42</c:f>
              <c:numCache>
                <c:formatCode>#,##0</c:formatCode>
                <c:ptCount val="21"/>
                <c:pt idx="0">
                  <c:v>71300</c:v>
                </c:pt>
                <c:pt idx="1">
                  <c:v>94760</c:v>
                </c:pt>
                <c:pt idx="2">
                  <c:v>118220</c:v>
                </c:pt>
                <c:pt idx="3">
                  <c:v>141680</c:v>
                </c:pt>
                <c:pt idx="4">
                  <c:v>165140</c:v>
                </c:pt>
                <c:pt idx="5">
                  <c:v>188600</c:v>
                </c:pt>
                <c:pt idx="6">
                  <c:v>212060</c:v>
                </c:pt>
                <c:pt idx="7">
                  <c:v>235520</c:v>
                </c:pt>
                <c:pt idx="8">
                  <c:v>258980</c:v>
                </c:pt>
                <c:pt idx="9">
                  <c:v>282440</c:v>
                </c:pt>
                <c:pt idx="10">
                  <c:v>305900</c:v>
                </c:pt>
                <c:pt idx="11">
                  <c:v>329360</c:v>
                </c:pt>
                <c:pt idx="12">
                  <c:v>352820</c:v>
                </c:pt>
                <c:pt idx="13">
                  <c:v>376280</c:v>
                </c:pt>
                <c:pt idx="14">
                  <c:v>399740</c:v>
                </c:pt>
                <c:pt idx="15">
                  <c:v>423200</c:v>
                </c:pt>
                <c:pt idx="16">
                  <c:v>446660</c:v>
                </c:pt>
                <c:pt idx="17">
                  <c:v>470120</c:v>
                </c:pt>
                <c:pt idx="18">
                  <c:v>493580</c:v>
                </c:pt>
                <c:pt idx="19">
                  <c:v>517040</c:v>
                </c:pt>
                <c:pt idx="20">
                  <c:v>540500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CDC-1146-A826-B80C614BA8E2}"/>
            </c:ext>
          </c:extLst>
        </c:ser>
        <c:ser>
          <c:idx val="2"/>
          <c:order val="2"/>
          <c:tx>
            <c:v>Fixed Costs</c:v>
          </c:tx>
          <c:spPr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BEP!$D$22:$D$42</c:f>
              <c:numCache>
                <c:formatCode>#,##0</c:formatCode>
                <c:ptCount val="21"/>
                <c:pt idx="0">
                  <c:v>71300</c:v>
                </c:pt>
                <c:pt idx="1">
                  <c:v>71300</c:v>
                </c:pt>
                <c:pt idx="2">
                  <c:v>71300</c:v>
                </c:pt>
                <c:pt idx="3">
                  <c:v>71300</c:v>
                </c:pt>
                <c:pt idx="4">
                  <c:v>71300</c:v>
                </c:pt>
                <c:pt idx="5">
                  <c:v>71300</c:v>
                </c:pt>
                <c:pt idx="6">
                  <c:v>71300</c:v>
                </c:pt>
                <c:pt idx="7">
                  <c:v>71300</c:v>
                </c:pt>
                <c:pt idx="8">
                  <c:v>71300</c:v>
                </c:pt>
                <c:pt idx="9">
                  <c:v>71300</c:v>
                </c:pt>
                <c:pt idx="10">
                  <c:v>71300</c:v>
                </c:pt>
                <c:pt idx="11">
                  <c:v>71300</c:v>
                </c:pt>
                <c:pt idx="12">
                  <c:v>71300</c:v>
                </c:pt>
                <c:pt idx="13">
                  <c:v>71300</c:v>
                </c:pt>
                <c:pt idx="14">
                  <c:v>71300</c:v>
                </c:pt>
                <c:pt idx="15">
                  <c:v>71300</c:v>
                </c:pt>
                <c:pt idx="16">
                  <c:v>71300</c:v>
                </c:pt>
                <c:pt idx="17">
                  <c:v>71300</c:v>
                </c:pt>
                <c:pt idx="18">
                  <c:v>71300</c:v>
                </c:pt>
                <c:pt idx="19">
                  <c:v>71300</c:v>
                </c:pt>
                <c:pt idx="20">
                  <c:v>71300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CDC-1146-A826-B80C614BA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19015"/>
        <c:axId val="54897170"/>
      </c:lineChart>
      <c:catAx>
        <c:axId val="1791901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Units Sold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54897170"/>
        <c:crosses val="autoZero"/>
        <c:auto val="1"/>
        <c:lblAlgn val="ctr"/>
        <c:lblOffset val="100"/>
        <c:noMultiLvlLbl val="0"/>
      </c:catAx>
      <c:valAx>
        <c:axId val="548971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USD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1791901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ja-JP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Payback Period — Cumulative Revenue vs. Cumulative Total Costs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Cumulative Revenue</c:v>
          </c:tx>
          <c:spPr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BEP!$B$52:$F$52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BEP!$B$49:$F$49</c:f>
              <c:numCache>
                <c:formatCode>\$#,##0</c:formatCode>
                <c:ptCount val="5"/>
                <c:pt idx="0">
                  <c:v>75000</c:v>
                </c:pt>
                <c:pt idx="1">
                  <c:v>185250</c:v>
                </c:pt>
                <c:pt idx="2">
                  <c:v>865650</c:v>
                </c:pt>
                <c:pt idx="3">
                  <c:v>1801200</c:v>
                </c:pt>
                <c:pt idx="4">
                  <c:v>3809500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8E6-BE40-B3EB-C4F020C9A284}"/>
            </c:ext>
          </c:extLst>
        </c:ser>
        <c:ser>
          <c:idx val="1"/>
          <c:order val="1"/>
          <c:tx>
            <c:v>Cumulative Total Costs</c:v>
          </c:tx>
          <c:spPr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BEP!$B$52:$F$52</c:f>
              <c:strCache>
                <c:ptCount val="5"/>
                <c:pt idx="0">
                  <c:v>Year 1</c:v>
                </c:pt>
                <c:pt idx="1">
                  <c:v>Year 2</c:v>
                </c:pt>
                <c:pt idx="2">
                  <c:v>Year 3</c:v>
                </c:pt>
                <c:pt idx="3">
                  <c:v>Year 4</c:v>
                </c:pt>
                <c:pt idx="4">
                  <c:v>Year 5</c:v>
                </c:pt>
              </c:strCache>
            </c:strRef>
          </c:cat>
          <c:val>
            <c:numRef>
              <c:f>BEP!$B$50:$F$50</c:f>
              <c:numCache>
                <c:formatCode>\$#,##0</c:formatCode>
                <c:ptCount val="5"/>
                <c:pt idx="0">
                  <c:v>128800</c:v>
                </c:pt>
                <c:pt idx="1">
                  <c:v>284625</c:v>
                </c:pt>
                <c:pt idx="2">
                  <c:v>617745</c:v>
                </c:pt>
                <c:pt idx="3">
                  <c:v>1060672.5</c:v>
                </c:pt>
                <c:pt idx="4">
                  <c:v>1805842.5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8E6-BE40-B3EB-C4F020C9A2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005796"/>
        <c:axId val="71486778"/>
      </c:lineChart>
      <c:catAx>
        <c:axId val="5100579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71486778"/>
        <c:crosses val="autoZero"/>
        <c:auto val="1"/>
        <c:lblAlgn val="ctr"/>
        <c:lblOffset val="100"/>
        <c:noMultiLvlLbl val="0"/>
      </c:catAx>
      <c:valAx>
        <c:axId val="714867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USD ($) — Cumulative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ja-JP"/>
          </a:p>
        </c:txPr>
        <c:crossAx val="5100579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ja-JP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</xdr:row>
      <xdr:rowOff>38100</xdr:rowOff>
    </xdr:from>
    <xdr:to>
      <xdr:col>19</xdr:col>
      <xdr:colOff>581760</xdr:colOff>
      <xdr:row>23</xdr:row>
      <xdr:rowOff>83300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23</xdr:row>
      <xdr:rowOff>177800</xdr:rowOff>
    </xdr:from>
    <xdr:to>
      <xdr:col>19</xdr:col>
      <xdr:colOff>581760</xdr:colOff>
      <xdr:row>49</xdr:row>
      <xdr:rowOff>99340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</xdr:row>
      <xdr:rowOff>127000</xdr:rowOff>
    </xdr:from>
    <xdr:to>
      <xdr:col>22</xdr:col>
      <xdr:colOff>187200</xdr:colOff>
      <xdr:row>34</xdr:row>
      <xdr:rowOff>100780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35</xdr:row>
      <xdr:rowOff>63500</xdr:rowOff>
    </xdr:from>
    <xdr:to>
      <xdr:col>22</xdr:col>
      <xdr:colOff>187200</xdr:colOff>
      <xdr:row>64</xdr:row>
      <xdr:rowOff>12920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A1:D47"/>
  <sheetViews>
    <sheetView topLeftCell="A18" zoomScaleNormal="100" workbookViewId="0">
      <selection sqref="A1:D1"/>
    </sheetView>
  </sheetViews>
  <sheetFormatPr baseColWidth="10" defaultColWidth="8.6640625" defaultRowHeight="15" x14ac:dyDescent="0.2"/>
  <cols>
    <col min="1" max="1" width="3" customWidth="1"/>
    <col min="2" max="2" width="53.6640625" customWidth="1"/>
    <col min="3" max="3" width="72.5" customWidth="1"/>
    <col min="4" max="4" width="3" customWidth="1"/>
  </cols>
  <sheetData>
    <row r="1" spans="1:4" ht="36" customHeight="1" x14ac:dyDescent="0.2">
      <c r="A1" s="55" t="s">
        <v>0</v>
      </c>
      <c r="B1" s="55"/>
      <c r="C1" s="55"/>
      <c r="D1" s="55"/>
    </row>
    <row r="2" spans="1:4" ht="19.5" customHeight="1" x14ac:dyDescent="0.2">
      <c r="A2" s="56" t="s">
        <v>1</v>
      </c>
      <c r="B2" s="56"/>
      <c r="C2" s="56"/>
      <c r="D2" s="56"/>
    </row>
    <row r="3" spans="1:4" ht="7.5" customHeight="1" x14ac:dyDescent="0.2"/>
    <row r="4" spans="1:4" ht="21.75" customHeight="1" x14ac:dyDescent="0.2">
      <c r="A4" s="54" t="s">
        <v>2</v>
      </c>
      <c r="B4" s="54"/>
      <c r="C4" s="54"/>
      <c r="D4" s="54"/>
    </row>
    <row r="5" spans="1:4" ht="51.75" customHeight="1" x14ac:dyDescent="0.2">
      <c r="B5" s="57" t="s">
        <v>3</v>
      </c>
      <c r="C5" s="57"/>
    </row>
    <row r="6" spans="1:4" ht="7.5" customHeight="1" x14ac:dyDescent="0.2"/>
    <row r="7" spans="1:4" ht="21.75" customHeight="1" x14ac:dyDescent="0.2">
      <c r="A7" s="54" t="s">
        <v>4</v>
      </c>
      <c r="B7" s="54"/>
      <c r="C7" s="54"/>
      <c r="D7" s="54"/>
    </row>
    <row r="8" spans="1:4" ht="42" customHeight="1" x14ac:dyDescent="0.2">
      <c r="B8" s="2" t="s">
        <v>5</v>
      </c>
      <c r="C8" s="1" t="s">
        <v>6</v>
      </c>
    </row>
    <row r="9" spans="1:4" ht="4.5" customHeight="1" x14ac:dyDescent="0.2"/>
    <row r="10" spans="1:4" ht="42" customHeight="1" x14ac:dyDescent="0.2">
      <c r="B10" s="2" t="s">
        <v>7</v>
      </c>
      <c r="C10" s="1" t="s">
        <v>8</v>
      </c>
    </row>
    <row r="11" spans="1:4" ht="4.5" customHeight="1" x14ac:dyDescent="0.2"/>
    <row r="12" spans="1:4" ht="42" customHeight="1" x14ac:dyDescent="0.2">
      <c r="B12" s="2" t="s">
        <v>9</v>
      </c>
      <c r="C12" s="1" t="s">
        <v>10</v>
      </c>
    </row>
    <row r="13" spans="1:4" ht="4.5" customHeight="1" x14ac:dyDescent="0.2"/>
    <row r="14" spans="1:4" ht="42" customHeight="1" x14ac:dyDescent="0.2">
      <c r="B14" s="2" t="s">
        <v>11</v>
      </c>
      <c r="C14" s="1" t="s">
        <v>12</v>
      </c>
    </row>
    <row r="15" spans="1:4" ht="4.5" customHeight="1" x14ac:dyDescent="0.2"/>
    <row r="16" spans="1:4" ht="42" customHeight="1" x14ac:dyDescent="0.2">
      <c r="B16" s="2" t="s">
        <v>13</v>
      </c>
      <c r="C16" s="1" t="s">
        <v>14</v>
      </c>
    </row>
    <row r="17" spans="1:4" ht="4.5" customHeight="1" x14ac:dyDescent="0.2"/>
    <row r="18" spans="1:4" ht="42" customHeight="1" x14ac:dyDescent="0.2">
      <c r="B18" s="2" t="s">
        <v>15</v>
      </c>
      <c r="C18" s="1" t="s">
        <v>16</v>
      </c>
    </row>
    <row r="19" spans="1:4" ht="4.5" customHeight="1" x14ac:dyDescent="0.2"/>
    <row r="20" spans="1:4" ht="7.5" customHeight="1" x14ac:dyDescent="0.2"/>
    <row r="21" spans="1:4" ht="21.75" customHeight="1" x14ac:dyDescent="0.2">
      <c r="A21" s="54" t="s">
        <v>17</v>
      </c>
      <c r="B21" s="54"/>
      <c r="C21" s="54"/>
      <c r="D21" s="54"/>
    </row>
    <row r="22" spans="1:4" ht="21.75" customHeight="1" x14ac:dyDescent="0.2">
      <c r="B22" s="3" t="s">
        <v>18</v>
      </c>
      <c r="C22" s="4" t="s">
        <v>19</v>
      </c>
    </row>
    <row r="23" spans="1:4" ht="21.75" customHeight="1" x14ac:dyDescent="0.2">
      <c r="B23" s="5" t="s">
        <v>20</v>
      </c>
      <c r="C23" s="4" t="s">
        <v>21</v>
      </c>
    </row>
    <row r="24" spans="1:4" ht="21.75" customHeight="1" x14ac:dyDescent="0.2">
      <c r="B24" s="6" t="s">
        <v>22</v>
      </c>
      <c r="C24" s="4" t="s">
        <v>23</v>
      </c>
    </row>
    <row r="25" spans="1:4" ht="21.75" customHeight="1" x14ac:dyDescent="0.2">
      <c r="B25" s="7" t="s">
        <v>24</v>
      </c>
      <c r="C25" s="4" t="s">
        <v>25</v>
      </c>
    </row>
    <row r="26" spans="1:4" ht="21.75" customHeight="1" x14ac:dyDescent="0.2">
      <c r="B26" s="8" t="s">
        <v>26</v>
      </c>
      <c r="C26" s="4" t="s">
        <v>27</v>
      </c>
    </row>
    <row r="27" spans="1:4" ht="21.75" customHeight="1" x14ac:dyDescent="0.2">
      <c r="B27" s="9" t="s">
        <v>28</v>
      </c>
      <c r="C27" s="4" t="s">
        <v>29</v>
      </c>
    </row>
    <row r="28" spans="1:4" ht="7.5" customHeight="1" x14ac:dyDescent="0.2"/>
    <row r="29" spans="1:4" ht="21.75" customHeight="1" x14ac:dyDescent="0.2">
      <c r="A29" s="54" t="s">
        <v>30</v>
      </c>
      <c r="B29" s="54"/>
      <c r="C29" s="54"/>
      <c r="D29" s="54"/>
    </row>
    <row r="30" spans="1:4" ht="21.75" customHeight="1" x14ac:dyDescent="0.2">
      <c r="B30" s="10" t="s">
        <v>31</v>
      </c>
      <c r="C30" s="4" t="s">
        <v>32</v>
      </c>
    </row>
    <row r="31" spans="1:4" ht="21.75" customHeight="1" x14ac:dyDescent="0.2">
      <c r="B31" s="10" t="s">
        <v>33</v>
      </c>
      <c r="C31" s="4" t="s">
        <v>34</v>
      </c>
    </row>
    <row r="32" spans="1:4" ht="21.75" customHeight="1" x14ac:dyDescent="0.2">
      <c r="B32" s="10" t="s">
        <v>35</v>
      </c>
      <c r="C32" s="4" t="s">
        <v>36</v>
      </c>
    </row>
    <row r="33" spans="1:4" ht="21.75" customHeight="1" x14ac:dyDescent="0.2">
      <c r="B33" s="10" t="s">
        <v>37</v>
      </c>
      <c r="C33" s="4" t="s">
        <v>38</v>
      </c>
    </row>
    <row r="34" spans="1:4" ht="21.75" customHeight="1" x14ac:dyDescent="0.2">
      <c r="B34" s="10" t="s">
        <v>39</v>
      </c>
      <c r="C34" s="4" t="s">
        <v>40</v>
      </c>
    </row>
    <row r="35" spans="1:4" ht="21.75" customHeight="1" x14ac:dyDescent="0.2">
      <c r="B35" s="10" t="s">
        <v>41</v>
      </c>
      <c r="C35" s="4" t="s">
        <v>42</v>
      </c>
    </row>
    <row r="36" spans="1:4" ht="21.75" customHeight="1" x14ac:dyDescent="0.2">
      <c r="B36" s="10" t="s">
        <v>43</v>
      </c>
      <c r="C36" s="4" t="s">
        <v>44</v>
      </c>
    </row>
    <row r="37" spans="1:4" ht="21.75" customHeight="1" x14ac:dyDescent="0.2">
      <c r="B37" s="10" t="s">
        <v>45</v>
      </c>
      <c r="C37" s="4" t="s">
        <v>46</v>
      </c>
    </row>
    <row r="38" spans="1:4" ht="21.75" customHeight="1" x14ac:dyDescent="0.2">
      <c r="B38" s="10" t="s">
        <v>47</v>
      </c>
      <c r="C38" s="4" t="s">
        <v>48</v>
      </c>
    </row>
    <row r="39" spans="1:4" ht="21.75" customHeight="1" x14ac:dyDescent="0.2">
      <c r="B39" s="10" t="s">
        <v>49</v>
      </c>
      <c r="C39" s="4" t="s">
        <v>50</v>
      </c>
    </row>
    <row r="40" spans="1:4" ht="7.5" customHeight="1" x14ac:dyDescent="0.2"/>
    <row r="41" spans="1:4" ht="21.75" customHeight="1" x14ac:dyDescent="0.2">
      <c r="A41" s="54" t="s">
        <v>51</v>
      </c>
      <c r="B41" s="54"/>
      <c r="C41" s="54"/>
      <c r="D41" s="54"/>
    </row>
    <row r="42" spans="1:4" ht="27.75" customHeight="1" x14ac:dyDescent="0.2">
      <c r="B42" s="53" t="s">
        <v>52</v>
      </c>
      <c r="C42" s="53"/>
    </row>
    <row r="43" spans="1:4" ht="27.75" customHeight="1" x14ac:dyDescent="0.2">
      <c r="B43" s="53" t="s">
        <v>53</v>
      </c>
      <c r="C43" s="53"/>
    </row>
    <row r="44" spans="1:4" ht="27.75" customHeight="1" x14ac:dyDescent="0.2">
      <c r="B44" s="53" t="s">
        <v>54</v>
      </c>
      <c r="C44" s="53"/>
    </row>
    <row r="45" spans="1:4" ht="27.75" customHeight="1" x14ac:dyDescent="0.2">
      <c r="B45" s="53" t="s">
        <v>55</v>
      </c>
      <c r="C45" s="53"/>
    </row>
    <row r="46" spans="1:4" ht="27.75" customHeight="1" x14ac:dyDescent="0.2">
      <c r="B46" s="53" t="s">
        <v>56</v>
      </c>
      <c r="C46" s="53"/>
    </row>
    <row r="47" spans="1:4" ht="27.75" customHeight="1" x14ac:dyDescent="0.2">
      <c r="B47" s="53" t="s">
        <v>57</v>
      </c>
      <c r="C47" s="53"/>
    </row>
  </sheetData>
  <mergeCells count="14">
    <mergeCell ref="A1:D1"/>
    <mergeCell ref="A2:D2"/>
    <mergeCell ref="A4:D4"/>
    <mergeCell ref="B5:C5"/>
    <mergeCell ref="A7:D7"/>
    <mergeCell ref="B44:C44"/>
    <mergeCell ref="B45:C45"/>
    <mergeCell ref="B46:C46"/>
    <mergeCell ref="B47:C47"/>
    <mergeCell ref="A21:D21"/>
    <mergeCell ref="A29:D29"/>
    <mergeCell ref="A41:D41"/>
    <mergeCell ref="B42:C42"/>
    <mergeCell ref="B43:C43"/>
  </mergeCells>
  <phoneticPr fontId="28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G44"/>
  <sheetViews>
    <sheetView zoomScaleNormal="100" workbookViewId="0">
      <pane xSplit="1" ySplit="5" topLeftCell="B25" activePane="bottomRight" state="frozen"/>
      <selection pane="topRight" activeCell="B1" sqref="B1"/>
      <selection pane="bottomLeft" activeCell="A6" sqref="A6"/>
      <selection pane="bottomRight" activeCell="B10" sqref="B10"/>
    </sheetView>
  </sheetViews>
  <sheetFormatPr baseColWidth="10" defaultColWidth="8.6640625" defaultRowHeight="15" x14ac:dyDescent="0.2"/>
  <cols>
    <col min="1" max="1" width="53.83203125" customWidth="1"/>
    <col min="2" max="6" width="14" customWidth="1"/>
    <col min="7" max="7" width="57.83203125" customWidth="1"/>
  </cols>
  <sheetData>
    <row r="1" spans="1:7" ht="30" customHeight="1" x14ac:dyDescent="0.2">
      <c r="A1" s="55" t="s">
        <v>58</v>
      </c>
      <c r="B1" s="55"/>
      <c r="C1" s="55"/>
      <c r="D1" s="55"/>
      <c r="E1" s="55"/>
      <c r="F1" s="55"/>
      <c r="G1" s="55"/>
    </row>
    <row r="2" spans="1:7" ht="18" customHeight="1" x14ac:dyDescent="0.2">
      <c r="A2" s="59" t="s">
        <v>59</v>
      </c>
      <c r="B2" s="59"/>
      <c r="C2" s="59"/>
      <c r="D2" s="59"/>
      <c r="E2" s="59"/>
      <c r="F2" s="59"/>
      <c r="G2" s="59"/>
    </row>
    <row r="3" spans="1:7" ht="7.5" customHeight="1" x14ac:dyDescent="0.2"/>
    <row r="4" spans="1:7" ht="21.75" customHeight="1" x14ac:dyDescent="0.2">
      <c r="A4" s="54" t="s">
        <v>60</v>
      </c>
      <c r="B4" s="54"/>
      <c r="C4" s="54"/>
      <c r="D4" s="54"/>
      <c r="E4" s="54"/>
      <c r="F4" s="54"/>
      <c r="G4" s="54"/>
    </row>
    <row r="5" spans="1:7" ht="21.75" customHeight="1" x14ac:dyDescent="0.2">
      <c r="A5" s="11" t="s">
        <v>61</v>
      </c>
      <c r="B5" s="11" t="s">
        <v>62</v>
      </c>
      <c r="C5" s="11" t="s">
        <v>63</v>
      </c>
      <c r="D5" s="11" t="s">
        <v>64</v>
      </c>
      <c r="E5" s="11" t="s">
        <v>65</v>
      </c>
      <c r="F5" s="11" t="s">
        <v>66</v>
      </c>
      <c r="G5" s="11" t="s">
        <v>67</v>
      </c>
    </row>
    <row r="6" spans="1:7" ht="19.5" customHeight="1" x14ac:dyDescent="0.2">
      <c r="A6" s="12" t="s">
        <v>68</v>
      </c>
      <c r="B6" s="13" t="s">
        <v>69</v>
      </c>
      <c r="C6" s="14">
        <v>0.05</v>
      </c>
      <c r="D6" s="14">
        <v>0.08</v>
      </c>
      <c r="E6" s="14">
        <v>0.1</v>
      </c>
      <c r="F6" s="14">
        <v>0.15</v>
      </c>
      <c r="G6" s="15" t="s">
        <v>70</v>
      </c>
    </row>
    <row r="7" spans="1:7" ht="19.5" customHeight="1" x14ac:dyDescent="0.2">
      <c r="A7" s="12" t="s">
        <v>71</v>
      </c>
      <c r="B7" s="16">
        <v>100000</v>
      </c>
      <c r="C7" s="17">
        <f>ROUND(B7*(1+C6),0)</f>
        <v>105000</v>
      </c>
      <c r="D7" s="17">
        <f>ROUND(C7*(1+D6),0)</f>
        <v>113400</v>
      </c>
      <c r="E7" s="17">
        <f>ROUND(D7*(1+E6),0)</f>
        <v>124740</v>
      </c>
      <c r="F7" s="17">
        <f>ROUND(E7*(1+F6),0)</f>
        <v>143451</v>
      </c>
      <c r="G7" s="15" t="s">
        <v>72</v>
      </c>
    </row>
    <row r="8" spans="1:7" ht="19.5" customHeight="1" x14ac:dyDescent="0.2">
      <c r="A8" s="12" t="s">
        <v>73</v>
      </c>
      <c r="B8" s="14">
        <v>0.05</v>
      </c>
      <c r="C8" s="14">
        <v>7.0000000000000007E-2</v>
      </c>
      <c r="D8" s="14">
        <v>0.2</v>
      </c>
      <c r="E8" s="14">
        <v>0.25</v>
      </c>
      <c r="F8" s="14">
        <v>0.4</v>
      </c>
      <c r="G8" s="15" t="s">
        <v>74</v>
      </c>
    </row>
    <row r="9" spans="1:7" ht="19.5" customHeight="1" x14ac:dyDescent="0.2">
      <c r="A9" s="12" t="s">
        <v>75</v>
      </c>
      <c r="B9" s="18">
        <v>15</v>
      </c>
      <c r="C9" s="18">
        <v>15</v>
      </c>
      <c r="D9" s="18">
        <v>30</v>
      </c>
      <c r="E9" s="18">
        <v>30</v>
      </c>
      <c r="F9" s="18">
        <v>35</v>
      </c>
      <c r="G9" s="15" t="s">
        <v>76</v>
      </c>
    </row>
    <row r="10" spans="1:7" ht="19.5" customHeight="1" x14ac:dyDescent="0.2">
      <c r="A10" s="19" t="s">
        <v>77</v>
      </c>
      <c r="B10" s="20">
        <f>ROUND(B7*B8,0)</f>
        <v>5000</v>
      </c>
      <c r="C10" s="20">
        <f>ROUND(C7*C8,0)</f>
        <v>7350</v>
      </c>
      <c r="D10" s="20">
        <f>ROUND(D7*D8,0)</f>
        <v>22680</v>
      </c>
      <c r="E10" s="20">
        <f>ROUND(E7*E8,0)</f>
        <v>31185</v>
      </c>
      <c r="F10" s="20">
        <f>ROUND(F7*F8,0)</f>
        <v>57380</v>
      </c>
      <c r="G10" s="15" t="s">
        <v>78</v>
      </c>
    </row>
    <row r="11" spans="1:7" ht="19.5" customHeight="1" x14ac:dyDescent="0.2">
      <c r="A11" s="19" t="s">
        <v>79</v>
      </c>
      <c r="B11" s="21">
        <f>B10*B9</f>
        <v>75000</v>
      </c>
      <c r="C11" s="21">
        <f>C10*C9</f>
        <v>110250</v>
      </c>
      <c r="D11" s="21">
        <f>D10*D9</f>
        <v>680400</v>
      </c>
      <c r="E11" s="21">
        <f>E10*E9</f>
        <v>935550</v>
      </c>
      <c r="F11" s="21">
        <f>F10*F9</f>
        <v>2008300</v>
      </c>
      <c r="G11" s="15" t="s">
        <v>80</v>
      </c>
    </row>
    <row r="12" spans="1:7" ht="9.75" customHeight="1" x14ac:dyDescent="0.2"/>
    <row r="13" spans="1:7" ht="21.75" customHeight="1" x14ac:dyDescent="0.2">
      <c r="A13" s="54" t="s">
        <v>81</v>
      </c>
      <c r="B13" s="54"/>
      <c r="C13" s="54"/>
      <c r="D13" s="54"/>
      <c r="E13" s="54"/>
      <c r="F13" s="54"/>
      <c r="G13" s="54"/>
    </row>
    <row r="14" spans="1:7" ht="30" customHeight="1" x14ac:dyDescent="0.2">
      <c r="A14" s="11" t="s">
        <v>82</v>
      </c>
      <c r="B14" s="11" t="s">
        <v>83</v>
      </c>
      <c r="C14" s="11" t="s">
        <v>84</v>
      </c>
      <c r="D14" s="11" t="s">
        <v>85</v>
      </c>
      <c r="E14" s="11" t="s">
        <v>86</v>
      </c>
      <c r="F14" s="11" t="s">
        <v>87</v>
      </c>
      <c r="G14" s="11" t="s">
        <v>88</v>
      </c>
    </row>
    <row r="15" spans="1:7" ht="19.5" customHeight="1" x14ac:dyDescent="0.2">
      <c r="A15" s="22" t="s">
        <v>89</v>
      </c>
      <c r="B15" s="18">
        <v>8</v>
      </c>
      <c r="C15" s="18">
        <v>8</v>
      </c>
      <c r="D15" s="18">
        <v>8</v>
      </c>
      <c r="E15" s="18">
        <v>8</v>
      </c>
      <c r="F15" s="18">
        <v>8</v>
      </c>
      <c r="G15" s="15" t="s">
        <v>90</v>
      </c>
    </row>
    <row r="16" spans="1:7" ht="19.5" customHeight="1" x14ac:dyDescent="0.2">
      <c r="A16" s="22" t="s">
        <v>91</v>
      </c>
      <c r="B16" s="18">
        <v>2</v>
      </c>
      <c r="C16" s="18">
        <v>2</v>
      </c>
      <c r="D16" s="18">
        <v>2</v>
      </c>
      <c r="E16" s="18">
        <v>2</v>
      </c>
      <c r="F16" s="18">
        <v>2</v>
      </c>
      <c r="G16" s="15" t="s">
        <v>92</v>
      </c>
    </row>
    <row r="17" spans="1:7" ht="19.5" customHeight="1" x14ac:dyDescent="0.2">
      <c r="A17" s="22" t="s">
        <v>93</v>
      </c>
      <c r="B17" s="18">
        <v>1.5</v>
      </c>
      <c r="C17" s="18">
        <v>1.5</v>
      </c>
      <c r="D17" s="18">
        <v>1.5</v>
      </c>
      <c r="E17" s="18">
        <v>1.5</v>
      </c>
      <c r="F17" s="18">
        <v>1.5</v>
      </c>
      <c r="G17" s="15" t="s">
        <v>94</v>
      </c>
    </row>
    <row r="18" spans="1:7" ht="19.5" customHeight="1" x14ac:dyDescent="0.2">
      <c r="A18" s="22"/>
      <c r="B18" s="23"/>
      <c r="C18" s="23"/>
      <c r="D18" s="23"/>
      <c r="E18" s="23"/>
      <c r="F18" s="23"/>
      <c r="G18" s="15" t="s">
        <v>95</v>
      </c>
    </row>
    <row r="19" spans="1:7" ht="19.5" customHeight="1" x14ac:dyDescent="0.2">
      <c r="A19" s="22"/>
      <c r="B19" s="23"/>
      <c r="C19" s="23"/>
      <c r="D19" s="23"/>
      <c r="E19" s="23"/>
      <c r="F19" s="23"/>
      <c r="G19" s="15" t="s">
        <v>95</v>
      </c>
    </row>
    <row r="20" spans="1:7" ht="19.5" customHeight="1" x14ac:dyDescent="0.2">
      <c r="A20" s="22"/>
      <c r="B20" s="23"/>
      <c r="C20" s="23"/>
      <c r="D20" s="23"/>
      <c r="E20" s="23"/>
      <c r="F20" s="23"/>
      <c r="G20" s="15" t="s">
        <v>95</v>
      </c>
    </row>
    <row r="21" spans="1:7" ht="19.5" customHeight="1" x14ac:dyDescent="0.2">
      <c r="A21" s="19" t="s">
        <v>96</v>
      </c>
      <c r="B21" s="24">
        <f>IFERROR(SUM(B15:B20),0)</f>
        <v>11.5</v>
      </c>
      <c r="C21" s="24">
        <f>IFERROR(SUM(C15:C20),0)</f>
        <v>11.5</v>
      </c>
      <c r="D21" s="24">
        <f>IFERROR(SUM(D15:D20),0)</f>
        <v>11.5</v>
      </c>
      <c r="E21" s="24">
        <f>IFERROR(SUM(E15:E20),0)</f>
        <v>11.5</v>
      </c>
      <c r="F21" s="24">
        <f>IFERROR(SUM(F15:F20),0)</f>
        <v>11.5</v>
      </c>
      <c r="G21" s="15" t="s">
        <v>97</v>
      </c>
    </row>
    <row r="22" spans="1:7" ht="9.75" customHeight="1" x14ac:dyDescent="0.2"/>
    <row r="23" spans="1:7" ht="21.75" customHeight="1" x14ac:dyDescent="0.2">
      <c r="A23" s="54" t="s">
        <v>98</v>
      </c>
      <c r="B23" s="54"/>
      <c r="C23" s="54"/>
      <c r="D23" s="54"/>
      <c r="E23" s="54"/>
      <c r="F23" s="54"/>
      <c r="G23" s="54"/>
    </row>
    <row r="24" spans="1:7" ht="30" customHeight="1" x14ac:dyDescent="0.2">
      <c r="A24" s="11" t="s">
        <v>82</v>
      </c>
      <c r="B24" s="11" t="s">
        <v>99</v>
      </c>
      <c r="C24" s="11" t="s">
        <v>100</v>
      </c>
      <c r="D24" s="11" t="s">
        <v>101</v>
      </c>
      <c r="E24" s="11" t="s">
        <v>102</v>
      </c>
      <c r="F24" s="11" t="s">
        <v>103</v>
      </c>
      <c r="G24" s="11" t="s">
        <v>88</v>
      </c>
    </row>
    <row r="25" spans="1:7" ht="19.5" customHeight="1" x14ac:dyDescent="0.2">
      <c r="A25" s="22" t="s">
        <v>104</v>
      </c>
      <c r="B25" s="25">
        <v>12000</v>
      </c>
      <c r="C25" s="25">
        <v>12000</v>
      </c>
      <c r="D25" s="25">
        <v>12000</v>
      </c>
      <c r="E25" s="25">
        <v>12000</v>
      </c>
      <c r="F25" s="25">
        <v>12000</v>
      </c>
      <c r="G25" s="15" t="s">
        <v>105</v>
      </c>
    </row>
    <row r="26" spans="1:7" ht="19.5" customHeight="1" x14ac:dyDescent="0.2">
      <c r="A26" s="22" t="s">
        <v>106</v>
      </c>
      <c r="B26" s="25">
        <v>48000</v>
      </c>
      <c r="C26" s="25">
        <v>48000</v>
      </c>
      <c r="D26" s="25">
        <v>48000</v>
      </c>
      <c r="E26" s="25">
        <v>60000</v>
      </c>
      <c r="F26" s="25">
        <v>60000</v>
      </c>
      <c r="G26" s="15" t="s">
        <v>107</v>
      </c>
    </row>
    <row r="27" spans="1:7" ht="19.5" customHeight="1" x14ac:dyDescent="0.2">
      <c r="A27" s="22" t="s">
        <v>108</v>
      </c>
      <c r="B27" s="25">
        <v>3600</v>
      </c>
      <c r="C27" s="25">
        <v>3600</v>
      </c>
      <c r="D27" s="25">
        <v>3600</v>
      </c>
      <c r="E27" s="25">
        <v>3600</v>
      </c>
      <c r="F27" s="25">
        <v>3600</v>
      </c>
      <c r="G27" s="15" t="s">
        <v>109</v>
      </c>
    </row>
    <row r="28" spans="1:7" ht="19.5" customHeight="1" x14ac:dyDescent="0.2">
      <c r="A28" s="22" t="s">
        <v>110</v>
      </c>
      <c r="B28" s="25">
        <v>2400</v>
      </c>
      <c r="C28" s="25">
        <v>2400</v>
      </c>
      <c r="D28" s="25">
        <v>2400</v>
      </c>
      <c r="E28" s="25">
        <v>2400</v>
      </c>
      <c r="F28" s="25">
        <v>2400</v>
      </c>
      <c r="G28" s="15" t="s">
        <v>111</v>
      </c>
    </row>
    <row r="29" spans="1:7" ht="19.5" customHeight="1" x14ac:dyDescent="0.2">
      <c r="A29" s="22"/>
      <c r="B29" s="26"/>
      <c r="C29" s="26"/>
      <c r="D29" s="26"/>
      <c r="E29" s="26"/>
      <c r="F29" s="26"/>
      <c r="G29" s="15" t="s">
        <v>112</v>
      </c>
    </row>
    <row r="30" spans="1:7" ht="19.5" customHeight="1" x14ac:dyDescent="0.2">
      <c r="A30" s="22"/>
      <c r="B30" s="26"/>
      <c r="C30" s="26"/>
      <c r="D30" s="26"/>
      <c r="E30" s="26"/>
      <c r="F30" s="26"/>
      <c r="G30" s="15" t="s">
        <v>112</v>
      </c>
    </row>
    <row r="31" spans="1:7" ht="19.5" customHeight="1" x14ac:dyDescent="0.2">
      <c r="A31" s="22"/>
      <c r="B31" s="26"/>
      <c r="C31" s="26"/>
      <c r="D31" s="26"/>
      <c r="E31" s="26"/>
      <c r="F31" s="26"/>
      <c r="G31" s="15" t="s">
        <v>112</v>
      </c>
    </row>
    <row r="32" spans="1:7" ht="24" customHeight="1" x14ac:dyDescent="0.2">
      <c r="A32" s="27" t="s">
        <v>113</v>
      </c>
      <c r="B32" s="28">
        <f>SUMPRODUCT((B38:B43&gt;=1000)*(B38:B43)/5)+SUMPRODUCT((B38:B43&gt;0)*(B38:B43&lt;1000)*(B38:B43))</f>
        <v>5300</v>
      </c>
      <c r="C32" s="28">
        <f>SUMPRODUCT((B38:B43&gt;=1000)*(B38:B43)/5)+SUMPRODUCT((C38:C43&gt;=1000)*(C38:C43)/5)+SUMPRODUCT((C38:C43&gt;0)*(C38:C43&lt;1000)*(C38:C43))</f>
        <v>5300</v>
      </c>
      <c r="D32" s="28">
        <f>SUMPRODUCT((B38:B43&gt;=1000)*(B38:B43)/5)+SUMPRODUCT((C38:C43&gt;=1000)*(C38:C43)/5)+SUMPRODUCT((D38:D43&gt;=1000)*(D38:D43)/5)+SUMPRODUCT((D38:D43&gt;0)*(D38:D43&lt;1000)*(D38:D43))</f>
        <v>6300</v>
      </c>
      <c r="E32" s="28">
        <f>SUMPRODUCT((B38:B43&gt;=1000)*(B38:B43)/5)+SUMPRODUCT((C38:C43&gt;=1000)*(C38:C43)/5)+SUMPRODUCT((D38:D43&gt;=1000)*(D38:D43)/5)+SUMPRODUCT((E38:E43&gt;=1000)*(E38:E43)/5)+SUMPRODUCT((E38:E43&gt;0)*(E38:E43&lt;1000)*(E38:E43))</f>
        <v>6300</v>
      </c>
      <c r="F32" s="28">
        <f>SUMPRODUCT((B38:B43&gt;=1000)*(B38:B43)/5)+SUMPRODUCT((C38:C43&gt;=1000)*(C38:C43)/5)+SUMPRODUCT((D38:D43&gt;=1000)*(D38:D43)/5)+SUMPRODUCT((E38:E43&gt;=1000)*(E38:E43)/5)+SUMPRODUCT((F38:F43&gt;=1000)*(F38:F43)/5)+SUMPRODUCT((F38:F43&gt;0)*(F38:F43&lt;1000)*(F38:F43))</f>
        <v>7300</v>
      </c>
      <c r="G32" s="15" t="s">
        <v>114</v>
      </c>
    </row>
    <row r="33" spans="1:7" ht="19.5" customHeight="1" x14ac:dyDescent="0.2">
      <c r="A33" s="19" t="s">
        <v>115</v>
      </c>
      <c r="B33" s="29">
        <f>IFERROR(SUM(B25:B32),0)</f>
        <v>71300</v>
      </c>
      <c r="C33" s="29">
        <f>IFERROR(SUM(C25:C32),0)</f>
        <v>71300</v>
      </c>
      <c r="D33" s="29">
        <f>IFERROR(SUM(D25:D32),0)</f>
        <v>72300</v>
      </c>
      <c r="E33" s="29">
        <f>IFERROR(SUM(E25:E32),0)</f>
        <v>84300</v>
      </c>
      <c r="F33" s="29">
        <f>IFERROR(SUM(F25:F32),0)</f>
        <v>85300</v>
      </c>
      <c r="G33" s="15" t="s">
        <v>116</v>
      </c>
    </row>
    <row r="34" spans="1:7" ht="9.75" customHeight="1" x14ac:dyDescent="0.2"/>
    <row r="35" spans="1:7" ht="21.75" customHeight="1" x14ac:dyDescent="0.2">
      <c r="A35" s="54" t="s">
        <v>117</v>
      </c>
      <c r="B35" s="54"/>
      <c r="C35" s="54"/>
      <c r="D35" s="54"/>
      <c r="E35" s="54"/>
      <c r="F35" s="54"/>
      <c r="G35" s="54"/>
    </row>
    <row r="36" spans="1:7" ht="36" customHeight="1" x14ac:dyDescent="0.2">
      <c r="A36" s="58" t="s">
        <v>118</v>
      </c>
      <c r="B36" s="58"/>
      <c r="C36" s="58"/>
      <c r="D36" s="58"/>
      <c r="E36" s="58"/>
      <c r="F36" s="58"/>
      <c r="G36" s="58"/>
    </row>
    <row r="37" spans="1:7" ht="30" customHeight="1" x14ac:dyDescent="0.2">
      <c r="A37" s="11" t="s">
        <v>119</v>
      </c>
      <c r="B37" s="11" t="s">
        <v>120</v>
      </c>
      <c r="C37" s="11" t="s">
        <v>121</v>
      </c>
      <c r="D37" s="11" t="s">
        <v>122</v>
      </c>
      <c r="E37" s="11" t="s">
        <v>123</v>
      </c>
      <c r="F37" s="11" t="s">
        <v>124</v>
      </c>
      <c r="G37" s="11" t="s">
        <v>88</v>
      </c>
    </row>
    <row r="38" spans="1:7" ht="19.5" customHeight="1" x14ac:dyDescent="0.2">
      <c r="A38" s="22" t="s">
        <v>125</v>
      </c>
      <c r="B38" s="25">
        <v>20000</v>
      </c>
      <c r="C38" s="26"/>
      <c r="D38" s="26">
        <v>5000</v>
      </c>
      <c r="E38" s="26"/>
      <c r="F38" s="26">
        <v>5000</v>
      </c>
      <c r="G38" s="15" t="s">
        <v>126</v>
      </c>
    </row>
    <row r="39" spans="1:7" ht="19.5" customHeight="1" x14ac:dyDescent="0.2">
      <c r="A39" s="22" t="s">
        <v>127</v>
      </c>
      <c r="B39" s="25">
        <v>5000</v>
      </c>
      <c r="C39" s="26"/>
      <c r="D39" s="26"/>
      <c r="E39" s="26"/>
      <c r="F39" s="26"/>
      <c r="G39" s="15" t="s">
        <v>128</v>
      </c>
    </row>
    <row r="40" spans="1:7" ht="19.5" customHeight="1" x14ac:dyDescent="0.2">
      <c r="A40" s="22" t="s">
        <v>129</v>
      </c>
      <c r="B40" s="25">
        <v>1500</v>
      </c>
      <c r="C40" s="26"/>
      <c r="D40" s="26"/>
      <c r="E40" s="26"/>
      <c r="F40" s="26"/>
      <c r="G40" s="15" t="s">
        <v>130</v>
      </c>
    </row>
    <row r="41" spans="1:7" ht="19.5" customHeight="1" x14ac:dyDescent="0.2">
      <c r="A41" s="22"/>
      <c r="B41" s="26"/>
      <c r="C41" s="26"/>
      <c r="D41" s="26"/>
      <c r="E41" s="26"/>
      <c r="F41" s="26"/>
      <c r="G41" s="15" t="s">
        <v>131</v>
      </c>
    </row>
    <row r="42" spans="1:7" ht="19.5" customHeight="1" x14ac:dyDescent="0.2">
      <c r="A42" s="22"/>
      <c r="B42" s="26"/>
      <c r="C42" s="26"/>
      <c r="D42" s="26"/>
      <c r="E42" s="26"/>
      <c r="F42" s="26"/>
      <c r="G42" s="15" t="s">
        <v>131</v>
      </c>
    </row>
    <row r="43" spans="1:7" ht="19.5" customHeight="1" x14ac:dyDescent="0.2">
      <c r="A43" s="22"/>
      <c r="B43" s="26"/>
      <c r="C43" s="26"/>
      <c r="D43" s="26"/>
      <c r="E43" s="26"/>
      <c r="F43" s="26"/>
      <c r="G43" s="15" t="s">
        <v>131</v>
      </c>
    </row>
    <row r="44" spans="1:7" ht="19.5" customHeight="1" x14ac:dyDescent="0.2">
      <c r="A44" s="19" t="s">
        <v>132</v>
      </c>
      <c r="B44" s="29">
        <f>IFERROR(SUM(B38:B43),0)</f>
        <v>26500</v>
      </c>
      <c r="C44" s="29">
        <f>IFERROR(SUM(C38:C43),0)</f>
        <v>0</v>
      </c>
      <c r="D44" s="29">
        <f>IFERROR(SUM(D38:D43),0)</f>
        <v>5000</v>
      </c>
      <c r="E44" s="29">
        <f>IFERROR(SUM(E38:E43),0)</f>
        <v>0</v>
      </c>
      <c r="F44" s="29">
        <f>IFERROR(SUM(F38:F43),0)</f>
        <v>5000</v>
      </c>
    </row>
  </sheetData>
  <mergeCells count="7">
    <mergeCell ref="A35:G35"/>
    <mergeCell ref="A36:G36"/>
    <mergeCell ref="A1:G1"/>
    <mergeCell ref="A2:G2"/>
    <mergeCell ref="A4:G4"/>
    <mergeCell ref="A13:G13"/>
    <mergeCell ref="A23:G23"/>
  </mergeCells>
  <phoneticPr fontId="28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D7D31"/>
  </sheetPr>
  <dimension ref="A1:F44"/>
  <sheetViews>
    <sheetView zoomScaleNormal="100" workbookViewId="0">
      <pane xSplit="1" ySplit="3" topLeftCell="B17" activePane="bottomRight" state="frozen"/>
      <selection pane="topRight" activeCell="B1" sqref="B1"/>
      <selection pane="bottomLeft" activeCell="A4" sqref="A4"/>
      <selection pane="bottomRight" activeCell="G23" sqref="G23"/>
    </sheetView>
  </sheetViews>
  <sheetFormatPr baseColWidth="10" defaultColWidth="8.6640625" defaultRowHeight="15" x14ac:dyDescent="0.2"/>
  <cols>
    <col min="1" max="1" width="49" customWidth="1"/>
    <col min="2" max="6" width="16" customWidth="1"/>
  </cols>
  <sheetData>
    <row r="1" spans="1:6" ht="30" customHeight="1" x14ac:dyDescent="0.2">
      <c r="A1" s="55" t="s">
        <v>133</v>
      </c>
      <c r="B1" s="55"/>
      <c r="C1" s="55"/>
      <c r="D1" s="55"/>
      <c r="E1" s="55"/>
      <c r="F1" s="55"/>
    </row>
    <row r="2" spans="1:6" ht="15.75" customHeight="1" x14ac:dyDescent="0.2">
      <c r="A2" s="60" t="s">
        <v>134</v>
      </c>
      <c r="B2" s="60"/>
      <c r="C2" s="60"/>
      <c r="D2" s="60"/>
      <c r="E2" s="60"/>
      <c r="F2" s="60"/>
    </row>
    <row r="3" spans="1:6" ht="21.75" customHeight="1" x14ac:dyDescent="0.2">
      <c r="A3" s="11" t="s">
        <v>61</v>
      </c>
      <c r="B3" s="11" t="s">
        <v>62</v>
      </c>
      <c r="C3" s="11" t="s">
        <v>63</v>
      </c>
      <c r="D3" s="11" t="s">
        <v>64</v>
      </c>
      <c r="E3" s="11" t="s">
        <v>65</v>
      </c>
      <c r="F3" s="11" t="s">
        <v>66</v>
      </c>
    </row>
    <row r="4" spans="1:6" ht="19.5" customHeight="1" x14ac:dyDescent="0.2">
      <c r="A4" s="54" t="s">
        <v>135</v>
      </c>
      <c r="B4" s="54"/>
      <c r="C4" s="54"/>
      <c r="D4" s="54"/>
      <c r="E4" s="54"/>
      <c r="F4" s="54"/>
    </row>
    <row r="5" spans="1:6" ht="19.5" customHeight="1" x14ac:dyDescent="0.2">
      <c r="A5" s="22" t="s">
        <v>136</v>
      </c>
      <c r="B5" s="30">
        <f>Inputs!B7</f>
        <v>100000</v>
      </c>
      <c r="C5" s="30">
        <f>Inputs!C7</f>
        <v>105000</v>
      </c>
      <c r="D5" s="30">
        <f>Inputs!D7</f>
        <v>113400</v>
      </c>
      <c r="E5" s="30">
        <f>Inputs!E7</f>
        <v>124740</v>
      </c>
      <c r="F5" s="30">
        <f>Inputs!F7</f>
        <v>143451</v>
      </c>
    </row>
    <row r="6" spans="1:6" ht="19.5" customHeight="1" x14ac:dyDescent="0.2">
      <c r="A6" s="22" t="s">
        <v>137</v>
      </c>
      <c r="B6" s="31">
        <f>Inputs!B8</f>
        <v>0.05</v>
      </c>
      <c r="C6" s="31">
        <f>Inputs!C8</f>
        <v>7.0000000000000007E-2</v>
      </c>
      <c r="D6" s="31">
        <f>Inputs!D8</f>
        <v>0.2</v>
      </c>
      <c r="E6" s="31">
        <f>Inputs!E8</f>
        <v>0.25</v>
      </c>
      <c r="F6" s="31">
        <f>Inputs!F8</f>
        <v>0.4</v>
      </c>
    </row>
    <row r="7" spans="1:6" ht="19.5" customHeight="1" x14ac:dyDescent="0.2">
      <c r="A7" s="32" t="s">
        <v>138</v>
      </c>
      <c r="B7" s="30">
        <f>Inputs!B10</f>
        <v>5000</v>
      </c>
      <c r="C7" s="30">
        <f>Inputs!C10</f>
        <v>7350</v>
      </c>
      <c r="D7" s="30">
        <f>Inputs!D10</f>
        <v>22680</v>
      </c>
      <c r="E7" s="30">
        <f>Inputs!E10</f>
        <v>31185</v>
      </c>
      <c r="F7" s="30">
        <f>Inputs!F10</f>
        <v>57380</v>
      </c>
    </row>
    <row r="8" spans="1:6" ht="19.5" customHeight="1" x14ac:dyDescent="0.2">
      <c r="A8" s="22" t="s">
        <v>139</v>
      </c>
      <c r="B8" s="33">
        <f>Inputs!B9</f>
        <v>15</v>
      </c>
      <c r="C8" s="33">
        <f>Inputs!C9</f>
        <v>15</v>
      </c>
      <c r="D8" s="33">
        <f>Inputs!D9</f>
        <v>30</v>
      </c>
      <c r="E8" s="33">
        <f>Inputs!E9</f>
        <v>30</v>
      </c>
      <c r="F8" s="33">
        <f>Inputs!F9</f>
        <v>35</v>
      </c>
    </row>
    <row r="9" spans="1:6" ht="24" customHeight="1" x14ac:dyDescent="0.2">
      <c r="A9" s="19" t="s">
        <v>140</v>
      </c>
      <c r="B9" s="21">
        <f>Inputs!B11</f>
        <v>75000</v>
      </c>
      <c r="C9" s="21">
        <f>Inputs!C11</f>
        <v>110250</v>
      </c>
      <c r="D9" s="21">
        <f>Inputs!D11</f>
        <v>680400</v>
      </c>
      <c r="E9" s="21">
        <f>Inputs!E11</f>
        <v>935550</v>
      </c>
      <c r="F9" s="21">
        <f>Inputs!F11</f>
        <v>2008300</v>
      </c>
    </row>
    <row r="10" spans="1:6" ht="19.5" customHeight="1" x14ac:dyDescent="0.2">
      <c r="A10" s="54" t="s">
        <v>141</v>
      </c>
      <c r="B10" s="54"/>
      <c r="C10" s="54"/>
      <c r="D10" s="54"/>
      <c r="E10" s="54"/>
      <c r="F10" s="54"/>
    </row>
    <row r="11" spans="1:6" ht="19.5" customHeight="1" x14ac:dyDescent="0.2">
      <c r="A11" s="22" t="str">
        <f>IF(Inputs!A15="","  (add label in Inputs)",Inputs!A15)</f>
        <v>Raw Materials / Cost of Goods</v>
      </c>
      <c r="B11" s="34">
        <f>IFERROR(Inputs!B15*Inputs!B10,0)</f>
        <v>40000</v>
      </c>
      <c r="C11" s="34">
        <f>IFERROR(Inputs!C15*Inputs!C10,0)</f>
        <v>58800</v>
      </c>
      <c r="D11" s="34">
        <f>IFERROR(Inputs!D15*Inputs!D10,0)</f>
        <v>181440</v>
      </c>
      <c r="E11" s="34">
        <f>IFERROR(Inputs!E15*Inputs!E10,0)</f>
        <v>249480</v>
      </c>
      <c r="F11" s="34">
        <f>IFERROR(Inputs!F15*Inputs!F10,0)</f>
        <v>459040</v>
      </c>
    </row>
    <row r="12" spans="1:6" ht="19.5" customHeight="1" x14ac:dyDescent="0.2">
      <c r="A12" s="22" t="str">
        <f>IF(Inputs!A16="","  (add label in Inputs)",Inputs!A16)</f>
        <v>Marketing &amp; Promotion</v>
      </c>
      <c r="B12" s="34">
        <f>IFERROR(Inputs!B16*Inputs!B10,0)</f>
        <v>10000</v>
      </c>
      <c r="C12" s="34">
        <f>IFERROR(Inputs!C16*Inputs!C10,0)</f>
        <v>14700</v>
      </c>
      <c r="D12" s="34">
        <f>IFERROR(Inputs!D16*Inputs!D10,0)</f>
        <v>45360</v>
      </c>
      <c r="E12" s="34">
        <f>IFERROR(Inputs!E16*Inputs!E10,0)</f>
        <v>62370</v>
      </c>
      <c r="F12" s="34">
        <f>IFERROR(Inputs!F16*Inputs!F10,0)</f>
        <v>114760</v>
      </c>
    </row>
    <row r="13" spans="1:6" ht="19.5" customHeight="1" x14ac:dyDescent="0.2">
      <c r="A13" s="22" t="str">
        <f>IF(Inputs!A17="","  (add label in Inputs)",Inputs!A17)</f>
        <v>Distribution / Logistics</v>
      </c>
      <c r="B13" s="34">
        <f>IFERROR(Inputs!B17*Inputs!B10,0)</f>
        <v>7500</v>
      </c>
      <c r="C13" s="34">
        <f>IFERROR(Inputs!C17*Inputs!C10,0)</f>
        <v>11025</v>
      </c>
      <c r="D13" s="34">
        <f>IFERROR(Inputs!D17*Inputs!D10,0)</f>
        <v>34020</v>
      </c>
      <c r="E13" s="34">
        <f>IFERROR(Inputs!E17*Inputs!E10,0)</f>
        <v>46777.5</v>
      </c>
      <c r="F13" s="34">
        <f>IFERROR(Inputs!F17*Inputs!F10,0)</f>
        <v>86070</v>
      </c>
    </row>
    <row r="14" spans="1:6" ht="19.5" customHeight="1" x14ac:dyDescent="0.2">
      <c r="A14" s="22" t="str">
        <f>IF(Inputs!A18="","  (add label in Inputs)",Inputs!A18)</f>
        <v xml:space="preserve">  (add label in Inputs)</v>
      </c>
      <c r="B14" s="34">
        <f>IFERROR(Inputs!B18*Inputs!B10,0)</f>
        <v>0</v>
      </c>
      <c r="C14" s="34">
        <f>IFERROR(Inputs!C18*Inputs!C10,0)</f>
        <v>0</v>
      </c>
      <c r="D14" s="34">
        <f>IFERROR(Inputs!D18*Inputs!D10,0)</f>
        <v>0</v>
      </c>
      <c r="E14" s="34">
        <f>IFERROR(Inputs!E18*Inputs!E10,0)</f>
        <v>0</v>
      </c>
      <c r="F14" s="34">
        <f>IFERROR(Inputs!F18*Inputs!F10,0)</f>
        <v>0</v>
      </c>
    </row>
    <row r="15" spans="1:6" ht="19.5" customHeight="1" x14ac:dyDescent="0.2">
      <c r="A15" s="22" t="str">
        <f>IF(Inputs!A19="","  (add label in Inputs)",Inputs!A19)</f>
        <v xml:space="preserve">  (add label in Inputs)</v>
      </c>
      <c r="B15" s="34">
        <f>IFERROR(Inputs!B19*Inputs!B10,0)</f>
        <v>0</v>
      </c>
      <c r="C15" s="34">
        <f>IFERROR(Inputs!C19*Inputs!C10,0)</f>
        <v>0</v>
      </c>
      <c r="D15" s="34">
        <f>IFERROR(Inputs!D19*Inputs!D10,0)</f>
        <v>0</v>
      </c>
      <c r="E15" s="34">
        <f>IFERROR(Inputs!E19*Inputs!E10,0)</f>
        <v>0</v>
      </c>
      <c r="F15" s="34">
        <f>IFERROR(Inputs!F19*Inputs!F10,0)</f>
        <v>0</v>
      </c>
    </row>
    <row r="16" spans="1:6" ht="19.5" customHeight="1" x14ac:dyDescent="0.2">
      <c r="A16" s="22" t="str">
        <f>IF(Inputs!A20="","  (add label in Inputs)",Inputs!A20)</f>
        <v xml:space="preserve">  (add label in Inputs)</v>
      </c>
      <c r="B16" s="34">
        <f>IFERROR(Inputs!B20*Inputs!B10,0)</f>
        <v>0</v>
      </c>
      <c r="C16" s="34">
        <f>IFERROR(Inputs!C20*Inputs!C10,0)</f>
        <v>0</v>
      </c>
      <c r="D16" s="34">
        <f>IFERROR(Inputs!D20*Inputs!D10,0)</f>
        <v>0</v>
      </c>
      <c r="E16" s="34">
        <f>IFERROR(Inputs!E20*Inputs!E10,0)</f>
        <v>0</v>
      </c>
      <c r="F16" s="34">
        <f>IFERROR(Inputs!F20*Inputs!F10,0)</f>
        <v>0</v>
      </c>
    </row>
    <row r="17" spans="1:6" ht="19.5" customHeight="1" x14ac:dyDescent="0.2">
      <c r="A17" s="19" t="s">
        <v>142</v>
      </c>
      <c r="B17" s="29">
        <f>SUM(B11:B16)</f>
        <v>57500</v>
      </c>
      <c r="C17" s="29">
        <f>SUM(C11:C16)</f>
        <v>84525</v>
      </c>
      <c r="D17" s="29">
        <f>SUM(D11:D16)</f>
        <v>260820</v>
      </c>
      <c r="E17" s="29">
        <f>SUM(E11:E16)</f>
        <v>358627.5</v>
      </c>
      <c r="F17" s="29">
        <f>SUM(F11:F16)</f>
        <v>659870</v>
      </c>
    </row>
    <row r="18" spans="1:6" ht="24" customHeight="1" x14ac:dyDescent="0.2">
      <c r="A18" s="19" t="s">
        <v>143</v>
      </c>
      <c r="B18" s="21">
        <f>B9-B17</f>
        <v>17500</v>
      </c>
      <c r="C18" s="21">
        <f>C9-C17</f>
        <v>25725</v>
      </c>
      <c r="D18" s="21">
        <f>D9-D17</f>
        <v>419580</v>
      </c>
      <c r="E18" s="21">
        <f>E9-E17</f>
        <v>576922.5</v>
      </c>
      <c r="F18" s="21">
        <f>F9-F17</f>
        <v>1348430</v>
      </c>
    </row>
    <row r="19" spans="1:6" ht="18" customHeight="1" x14ac:dyDescent="0.2">
      <c r="A19" s="35" t="s">
        <v>144</v>
      </c>
      <c r="B19" s="36">
        <f>IFERROR(B18/B9,0)</f>
        <v>0.23333333333333334</v>
      </c>
      <c r="C19" s="36">
        <f>IFERROR(C18/C9,0)</f>
        <v>0.23333333333333334</v>
      </c>
      <c r="D19" s="36">
        <f>IFERROR(D18/D9,0)</f>
        <v>0.6166666666666667</v>
      </c>
      <c r="E19" s="36">
        <f>IFERROR(E18/E9,0)</f>
        <v>0.6166666666666667</v>
      </c>
      <c r="F19" s="36">
        <f>IFERROR(F18/F9,0)</f>
        <v>0.67142857142857137</v>
      </c>
    </row>
    <row r="21" spans="1:6" ht="19.5" customHeight="1" x14ac:dyDescent="0.2">
      <c r="A21" s="54" t="s">
        <v>145</v>
      </c>
      <c r="B21" s="54"/>
      <c r="C21" s="54"/>
      <c r="D21" s="54"/>
      <c r="E21" s="54"/>
      <c r="F21" s="54"/>
    </row>
    <row r="22" spans="1:6" ht="19.5" customHeight="1" x14ac:dyDescent="0.2">
      <c r="A22" s="22" t="str">
        <f>IF(Inputs!A25="","  (add label in Inputs)",Inputs!A25)</f>
        <v>Rent / Office Space</v>
      </c>
      <c r="B22" s="34">
        <f>IFERROR(Inputs!B25,0)</f>
        <v>12000</v>
      </c>
      <c r="C22" s="34">
        <f>IFERROR(Inputs!C25,0)</f>
        <v>12000</v>
      </c>
      <c r="D22" s="34">
        <f>IFERROR(Inputs!D25,0)</f>
        <v>12000</v>
      </c>
      <c r="E22" s="34">
        <f>IFERROR(Inputs!E25,0)</f>
        <v>12000</v>
      </c>
      <c r="F22" s="34">
        <f>IFERROR(Inputs!F25,0)</f>
        <v>12000</v>
      </c>
    </row>
    <row r="23" spans="1:6" ht="19.5" customHeight="1" x14ac:dyDescent="0.2">
      <c r="A23" s="22" t="str">
        <f>IF(Inputs!A26="","  (add label in Inputs)",Inputs!A26)</f>
        <v>Staff Salaries (total)</v>
      </c>
      <c r="B23" s="34">
        <f>IFERROR(Inputs!B26,0)</f>
        <v>48000</v>
      </c>
      <c r="C23" s="34">
        <f>IFERROR(Inputs!C26,0)</f>
        <v>48000</v>
      </c>
      <c r="D23" s="34">
        <f>IFERROR(Inputs!D26,0)</f>
        <v>48000</v>
      </c>
      <c r="E23" s="34">
        <f>IFERROR(Inputs!E26,0)</f>
        <v>60000</v>
      </c>
      <c r="F23" s="34">
        <f>IFERROR(Inputs!F26,0)</f>
        <v>60000</v>
      </c>
    </row>
    <row r="24" spans="1:6" ht="19.5" customHeight="1" x14ac:dyDescent="0.2">
      <c r="A24" s="22" t="str">
        <f>IF(Inputs!A27="","  (add label in Inputs)",Inputs!A27)</f>
        <v>Utilities &amp; Communications</v>
      </c>
      <c r="B24" s="34">
        <f>IFERROR(Inputs!B27,0)</f>
        <v>3600</v>
      </c>
      <c r="C24" s="34">
        <f>IFERROR(Inputs!C27,0)</f>
        <v>3600</v>
      </c>
      <c r="D24" s="34">
        <f>IFERROR(Inputs!D27,0)</f>
        <v>3600</v>
      </c>
      <c r="E24" s="34">
        <f>IFERROR(Inputs!E27,0)</f>
        <v>3600</v>
      </c>
      <c r="F24" s="34">
        <f>IFERROR(Inputs!F27,0)</f>
        <v>3600</v>
      </c>
    </row>
    <row r="25" spans="1:6" ht="19.5" customHeight="1" x14ac:dyDescent="0.2">
      <c r="A25" s="22" t="str">
        <f>IF(Inputs!A28="","  (add label in Inputs)",Inputs!A28)</f>
        <v>Insurance</v>
      </c>
      <c r="B25" s="34">
        <f>IFERROR(Inputs!B28,0)</f>
        <v>2400</v>
      </c>
      <c r="C25" s="34">
        <f>IFERROR(Inputs!C28,0)</f>
        <v>2400</v>
      </c>
      <c r="D25" s="34">
        <f>IFERROR(Inputs!D28,0)</f>
        <v>2400</v>
      </c>
      <c r="E25" s="34">
        <f>IFERROR(Inputs!E28,0)</f>
        <v>2400</v>
      </c>
      <c r="F25" s="34">
        <f>IFERROR(Inputs!F28,0)</f>
        <v>2400</v>
      </c>
    </row>
    <row r="26" spans="1:6" ht="19.5" customHeight="1" x14ac:dyDescent="0.2">
      <c r="A26" s="22" t="str">
        <f>IF(Inputs!A29="","  (add label in Inputs)",Inputs!A29)</f>
        <v xml:space="preserve">  (add label in Inputs)</v>
      </c>
      <c r="B26" s="34">
        <f>IFERROR(Inputs!B29,0)</f>
        <v>0</v>
      </c>
      <c r="C26" s="34">
        <f>IFERROR(Inputs!C29,0)</f>
        <v>0</v>
      </c>
      <c r="D26" s="34">
        <f>IFERROR(Inputs!D29,0)</f>
        <v>0</v>
      </c>
      <c r="E26" s="34">
        <f>IFERROR(Inputs!E29,0)</f>
        <v>0</v>
      </c>
      <c r="F26" s="34">
        <f>IFERROR(Inputs!F29,0)</f>
        <v>0</v>
      </c>
    </row>
    <row r="27" spans="1:6" ht="19.5" customHeight="1" x14ac:dyDescent="0.2">
      <c r="A27" s="22" t="str">
        <f>IF(Inputs!A30="","  (add label in Inputs)",Inputs!A30)</f>
        <v xml:space="preserve">  (add label in Inputs)</v>
      </c>
      <c r="B27" s="34">
        <f>IFERROR(Inputs!B30,0)</f>
        <v>0</v>
      </c>
      <c r="C27" s="34">
        <f>IFERROR(Inputs!C30,0)</f>
        <v>0</v>
      </c>
      <c r="D27" s="34">
        <f>IFERROR(Inputs!D30,0)</f>
        <v>0</v>
      </c>
      <c r="E27" s="34">
        <f>IFERROR(Inputs!E30,0)</f>
        <v>0</v>
      </c>
      <c r="F27" s="34">
        <f>IFERROR(Inputs!F30,0)</f>
        <v>0</v>
      </c>
    </row>
    <row r="28" spans="1:6" ht="19.5" customHeight="1" x14ac:dyDescent="0.2">
      <c r="A28" s="22" t="str">
        <f>IF(Inputs!A31="","  (add label in Inputs)",Inputs!A31)</f>
        <v xml:space="preserve">  (add label in Inputs)</v>
      </c>
      <c r="B28" s="34">
        <f>IFERROR(Inputs!B31,0)</f>
        <v>0</v>
      </c>
      <c r="C28" s="34">
        <f>IFERROR(Inputs!C31,0)</f>
        <v>0</v>
      </c>
      <c r="D28" s="34">
        <f>IFERROR(Inputs!D31,0)</f>
        <v>0</v>
      </c>
      <c r="E28" s="34">
        <f>IFERROR(Inputs!E31,0)</f>
        <v>0</v>
      </c>
      <c r="F28" s="34">
        <f>IFERROR(Inputs!F31,0)</f>
        <v>0</v>
      </c>
    </row>
    <row r="29" spans="1:6" ht="19.5" customHeight="1" x14ac:dyDescent="0.2">
      <c r="A29" s="37" t="s">
        <v>146</v>
      </c>
      <c r="B29" s="38">
        <f>Inputs!B32</f>
        <v>5300</v>
      </c>
      <c r="C29" s="38">
        <f>Inputs!C32</f>
        <v>5300</v>
      </c>
      <c r="D29" s="38">
        <f>Inputs!D32</f>
        <v>6300</v>
      </c>
      <c r="E29" s="38">
        <f>Inputs!E32</f>
        <v>6300</v>
      </c>
      <c r="F29" s="38">
        <f>Inputs!F32</f>
        <v>7300</v>
      </c>
    </row>
    <row r="30" spans="1:6" ht="19.5" customHeight="1" x14ac:dyDescent="0.2">
      <c r="A30" s="19" t="s">
        <v>147</v>
      </c>
      <c r="B30" s="29">
        <f>Inputs!B33</f>
        <v>71300</v>
      </c>
      <c r="C30" s="29">
        <f>Inputs!C33</f>
        <v>71300</v>
      </c>
      <c r="D30" s="29">
        <f>Inputs!D33</f>
        <v>72300</v>
      </c>
      <c r="E30" s="29">
        <f>Inputs!E33</f>
        <v>84300</v>
      </c>
      <c r="F30" s="29">
        <f>Inputs!F33</f>
        <v>85300</v>
      </c>
    </row>
    <row r="31" spans="1:6" ht="7.5" customHeight="1" x14ac:dyDescent="0.2"/>
    <row r="32" spans="1:6" ht="24" customHeight="1" x14ac:dyDescent="0.2">
      <c r="A32" s="19" t="s">
        <v>148</v>
      </c>
      <c r="B32" s="21">
        <f>B18-B30</f>
        <v>-53800</v>
      </c>
      <c r="C32" s="21">
        <f>C18-C30</f>
        <v>-45575</v>
      </c>
      <c r="D32" s="21">
        <f>D18-D30</f>
        <v>347280</v>
      </c>
      <c r="E32" s="21">
        <f>E18-E30</f>
        <v>492622.5</v>
      </c>
      <c r="F32" s="21">
        <f>F18-F30</f>
        <v>1263130</v>
      </c>
    </row>
    <row r="33" spans="1:6" ht="18" customHeight="1" x14ac:dyDescent="0.2">
      <c r="A33" s="35" t="s">
        <v>149</v>
      </c>
      <c r="B33" s="36">
        <f>IFERROR(B32/B9,0)</f>
        <v>-0.71733333333333338</v>
      </c>
      <c r="C33" s="36">
        <f>IFERROR(C32/C9,0)</f>
        <v>-0.41337868480725626</v>
      </c>
      <c r="D33" s="36">
        <f>IFERROR(D32/D9,0)</f>
        <v>0.51040564373897712</v>
      </c>
      <c r="E33" s="36">
        <f>IFERROR(E32/E9,0)</f>
        <v>0.52655924322590986</v>
      </c>
      <c r="F33" s="36">
        <f>IFERROR(F32/F9,0)</f>
        <v>0.6289548374246875</v>
      </c>
    </row>
    <row r="34" spans="1:6" ht="7.5" customHeight="1" x14ac:dyDescent="0.2"/>
    <row r="35" spans="1:6" ht="19.5" customHeight="1" x14ac:dyDescent="0.2">
      <c r="A35" s="19" t="s">
        <v>150</v>
      </c>
      <c r="B35" s="39">
        <f>B32</f>
        <v>-53800</v>
      </c>
      <c r="C35" s="39">
        <f>B35+C32</f>
        <v>-99375</v>
      </c>
      <c r="D35" s="39">
        <f>C35+D32</f>
        <v>247905</v>
      </c>
      <c r="E35" s="39">
        <f>D35+E32</f>
        <v>740527.5</v>
      </c>
      <c r="F35" s="39">
        <f>E35+F32</f>
        <v>2003657.5</v>
      </c>
    </row>
    <row r="38" spans="1:6" ht="12" customHeight="1" x14ac:dyDescent="0.2">
      <c r="A38" s="40" t="s">
        <v>151</v>
      </c>
    </row>
    <row r="39" spans="1:6" ht="12" customHeight="1" x14ac:dyDescent="0.2">
      <c r="B39" s="41" t="s">
        <v>62</v>
      </c>
      <c r="C39" s="41" t="s">
        <v>63</v>
      </c>
      <c r="D39" s="41" t="s">
        <v>64</v>
      </c>
      <c r="E39" s="41" t="s">
        <v>65</v>
      </c>
      <c r="F39" s="41" t="s">
        <v>66</v>
      </c>
    </row>
    <row r="40" spans="1:6" ht="12" customHeight="1" x14ac:dyDescent="0.2">
      <c r="A40" s="42" t="s">
        <v>152</v>
      </c>
      <c r="B40" s="43">
        <f>B9</f>
        <v>75000</v>
      </c>
      <c r="C40" s="43">
        <f>C9</f>
        <v>110250</v>
      </c>
      <c r="D40" s="43">
        <f>D9</f>
        <v>680400</v>
      </c>
      <c r="E40" s="43">
        <f>E9</f>
        <v>935550</v>
      </c>
      <c r="F40" s="43">
        <f>F9</f>
        <v>2008300</v>
      </c>
    </row>
    <row r="41" spans="1:6" ht="12" customHeight="1" x14ac:dyDescent="0.2">
      <c r="A41" s="42" t="s">
        <v>153</v>
      </c>
      <c r="B41" s="43">
        <f>B17</f>
        <v>57500</v>
      </c>
      <c r="C41" s="43">
        <f>C17</f>
        <v>84525</v>
      </c>
      <c r="D41" s="43">
        <f>D17</f>
        <v>260820</v>
      </c>
      <c r="E41" s="43">
        <f>E17</f>
        <v>358627.5</v>
      </c>
      <c r="F41" s="43">
        <f>F17</f>
        <v>659870</v>
      </c>
    </row>
    <row r="42" spans="1:6" ht="12" customHeight="1" x14ac:dyDescent="0.2">
      <c r="A42" s="42" t="s">
        <v>154</v>
      </c>
      <c r="B42" s="43">
        <f>B30</f>
        <v>71300</v>
      </c>
      <c r="C42" s="43">
        <f>C30</f>
        <v>71300</v>
      </c>
      <c r="D42" s="43">
        <f>D30</f>
        <v>72300</v>
      </c>
      <c r="E42" s="43">
        <f>E30</f>
        <v>84300</v>
      </c>
      <c r="F42" s="43">
        <f>F30</f>
        <v>85300</v>
      </c>
    </row>
    <row r="43" spans="1:6" ht="12" customHeight="1" x14ac:dyDescent="0.2">
      <c r="A43" s="42" t="s">
        <v>155</v>
      </c>
      <c r="B43" s="43">
        <f>B32</f>
        <v>-53800</v>
      </c>
      <c r="C43" s="43">
        <f>C32</f>
        <v>-45575</v>
      </c>
      <c r="D43" s="43">
        <f>D32</f>
        <v>347280</v>
      </c>
      <c r="E43" s="43">
        <f>E32</f>
        <v>492622.5</v>
      </c>
      <c r="F43" s="43">
        <f>F32</f>
        <v>1263130</v>
      </c>
    </row>
    <row r="44" spans="1:6" ht="12" customHeight="1" x14ac:dyDescent="0.2">
      <c r="A44" s="42" t="s">
        <v>156</v>
      </c>
      <c r="B44" s="43">
        <f>B35</f>
        <v>-53800</v>
      </c>
      <c r="C44" s="43">
        <f>C35</f>
        <v>-99375</v>
      </c>
      <c r="D44" s="43">
        <f>D35</f>
        <v>247905</v>
      </c>
      <c r="E44" s="43">
        <f>E35</f>
        <v>740527.5</v>
      </c>
      <c r="F44" s="43">
        <f>F35</f>
        <v>2003657.5</v>
      </c>
    </row>
  </sheetData>
  <mergeCells count="5">
    <mergeCell ref="A1:F1"/>
    <mergeCell ref="A2:F2"/>
    <mergeCell ref="A4:F4"/>
    <mergeCell ref="A10:F10"/>
    <mergeCell ref="A21:F21"/>
  </mergeCells>
  <phoneticPr fontId="28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H52"/>
  <sheetViews>
    <sheetView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F28" sqref="F28"/>
    </sheetView>
  </sheetViews>
  <sheetFormatPr baseColWidth="10" defaultColWidth="8.6640625" defaultRowHeight="15" x14ac:dyDescent="0.2"/>
  <cols>
    <col min="1" max="1" width="38" customWidth="1"/>
    <col min="2" max="6" width="16" customWidth="1"/>
  </cols>
  <sheetData>
    <row r="1" spans="1:6" ht="30" customHeight="1" x14ac:dyDescent="0.2">
      <c r="A1" s="55" t="s">
        <v>157</v>
      </c>
      <c r="B1" s="55"/>
      <c r="C1" s="55"/>
      <c r="D1" s="55"/>
      <c r="E1" s="55"/>
      <c r="F1" s="55"/>
    </row>
    <row r="2" spans="1:6" ht="18" customHeight="1" x14ac:dyDescent="0.2">
      <c r="A2" s="62" t="s">
        <v>158</v>
      </c>
      <c r="B2" s="62"/>
      <c r="C2" s="62"/>
      <c r="D2" s="62"/>
      <c r="E2" s="62"/>
      <c r="F2" s="62"/>
    </row>
    <row r="3" spans="1:6" ht="21.75" customHeight="1" x14ac:dyDescent="0.2">
      <c r="A3" s="11" t="s">
        <v>61</v>
      </c>
      <c r="B3" s="11" t="s">
        <v>62</v>
      </c>
      <c r="C3" s="11" t="s">
        <v>63</v>
      </c>
      <c r="D3" s="11" t="s">
        <v>64</v>
      </c>
      <c r="E3" s="11" t="s">
        <v>65</v>
      </c>
      <c r="F3" s="11" t="s">
        <v>66</v>
      </c>
    </row>
    <row r="4" spans="1:6" ht="19.5" customHeight="1" x14ac:dyDescent="0.2">
      <c r="A4" s="54" t="s">
        <v>159</v>
      </c>
      <c r="B4" s="54"/>
      <c r="C4" s="54"/>
      <c r="D4" s="54"/>
      <c r="E4" s="54"/>
      <c r="F4" s="54"/>
    </row>
    <row r="5" spans="1:6" ht="19.5" customHeight="1" x14ac:dyDescent="0.2">
      <c r="A5" s="32" t="s">
        <v>147</v>
      </c>
      <c r="B5" s="34">
        <f>Inputs!B33</f>
        <v>71300</v>
      </c>
      <c r="C5" s="34">
        <f>Inputs!C33</f>
        <v>71300</v>
      </c>
      <c r="D5" s="34">
        <f>Inputs!D33</f>
        <v>72300</v>
      </c>
      <c r="E5" s="34">
        <f>Inputs!E33</f>
        <v>84300</v>
      </c>
      <c r="F5" s="34">
        <f>Inputs!F33</f>
        <v>85300</v>
      </c>
    </row>
    <row r="6" spans="1:6" ht="19.5" customHeight="1" x14ac:dyDescent="0.2">
      <c r="A6" s="22" t="s">
        <v>160</v>
      </c>
      <c r="B6" s="33">
        <f>Inputs!B21</f>
        <v>11.5</v>
      </c>
      <c r="C6" s="33">
        <f>Inputs!C21</f>
        <v>11.5</v>
      </c>
      <c r="D6" s="33">
        <f>Inputs!D21</f>
        <v>11.5</v>
      </c>
      <c r="E6" s="33">
        <f>Inputs!E21</f>
        <v>11.5</v>
      </c>
      <c r="F6" s="33">
        <f>Inputs!F21</f>
        <v>11.5</v>
      </c>
    </row>
    <row r="7" spans="1:6" ht="19.5" customHeight="1" x14ac:dyDescent="0.2">
      <c r="A7" s="22" t="s">
        <v>161</v>
      </c>
      <c r="B7" s="33">
        <f>Inputs!B9</f>
        <v>15</v>
      </c>
      <c r="C7" s="33">
        <f>Inputs!C9</f>
        <v>15</v>
      </c>
      <c r="D7" s="33">
        <f>Inputs!D9</f>
        <v>30</v>
      </c>
      <c r="E7" s="33">
        <f>Inputs!E9</f>
        <v>30</v>
      </c>
      <c r="F7" s="33">
        <f>Inputs!F9</f>
        <v>35</v>
      </c>
    </row>
    <row r="8" spans="1:6" ht="19.5" customHeight="1" x14ac:dyDescent="0.2">
      <c r="A8" s="32" t="s">
        <v>162</v>
      </c>
      <c r="B8" s="44">
        <f>B7-B6</f>
        <v>3.5</v>
      </c>
      <c r="C8" s="44">
        <f>C7-C6</f>
        <v>3.5</v>
      </c>
      <c r="D8" s="44">
        <f>D7-D6</f>
        <v>18.5</v>
      </c>
      <c r="E8" s="44">
        <f>E7-E6</f>
        <v>18.5</v>
      </c>
      <c r="F8" s="44">
        <f>F7-F6</f>
        <v>23.5</v>
      </c>
    </row>
    <row r="9" spans="1:6" ht="19.5" customHeight="1" x14ac:dyDescent="0.2">
      <c r="A9" s="22" t="s">
        <v>163</v>
      </c>
      <c r="B9" s="36">
        <f>IFERROR(B8/B7,0)</f>
        <v>0.23333333333333334</v>
      </c>
      <c r="C9" s="36">
        <f>IFERROR(C8/C7,0)</f>
        <v>0.23333333333333334</v>
      </c>
      <c r="D9" s="36">
        <f>IFERROR(D8/D7,0)</f>
        <v>0.6166666666666667</v>
      </c>
      <c r="E9" s="36">
        <f>IFERROR(E8/E7,0)</f>
        <v>0.6166666666666667</v>
      </c>
      <c r="F9" s="36">
        <f>IFERROR(F8/F7,0)</f>
        <v>0.67142857142857137</v>
      </c>
    </row>
    <row r="10" spans="1:6" ht="19.5" customHeight="1" x14ac:dyDescent="0.2">
      <c r="A10" s="54" t="s">
        <v>164</v>
      </c>
      <c r="B10" s="54"/>
      <c r="C10" s="54"/>
      <c r="D10" s="54"/>
      <c r="E10" s="54"/>
      <c r="F10" s="54"/>
    </row>
    <row r="11" spans="1:6" ht="24" customHeight="1" x14ac:dyDescent="0.2">
      <c r="A11" s="19" t="s">
        <v>165</v>
      </c>
      <c r="B11" s="45">
        <f>IFERROR(CEILING(B5/B8,1),0)</f>
        <v>20372</v>
      </c>
      <c r="C11" s="45">
        <f>IFERROR(CEILING(C5/C8,1),0)</f>
        <v>20372</v>
      </c>
      <c r="D11" s="45">
        <f>IFERROR(CEILING(D5/D8,1),0)</f>
        <v>3909</v>
      </c>
      <c r="E11" s="45">
        <f>IFERROR(CEILING(E5/E8,1),0)</f>
        <v>4557</v>
      </c>
      <c r="F11" s="45">
        <f>IFERROR(CEILING(F5/F8,1),0)</f>
        <v>3630</v>
      </c>
    </row>
    <row r="12" spans="1:6" ht="24" customHeight="1" x14ac:dyDescent="0.2">
      <c r="A12" s="19" t="s">
        <v>166</v>
      </c>
      <c r="B12" s="21">
        <f>IFERROR(B11*B7,0)</f>
        <v>305580</v>
      </c>
      <c r="C12" s="21">
        <f>IFERROR(C11*C7,0)</f>
        <v>305580</v>
      </c>
      <c r="D12" s="21">
        <f>IFERROR(D11*D7,0)</f>
        <v>117270</v>
      </c>
      <c r="E12" s="21">
        <f>IFERROR(E11*E7,0)</f>
        <v>136710</v>
      </c>
      <c r="F12" s="21">
        <f>IFERROR(F11*F7,0)</f>
        <v>127050</v>
      </c>
    </row>
    <row r="13" spans="1:6" ht="19.5" customHeight="1" x14ac:dyDescent="0.2">
      <c r="A13" s="54" t="s">
        <v>167</v>
      </c>
      <c r="B13" s="54"/>
      <c r="C13" s="54"/>
      <c r="D13" s="54"/>
      <c r="E13" s="54"/>
      <c r="F13" s="54"/>
    </row>
    <row r="14" spans="1:6" ht="21.75" customHeight="1" x14ac:dyDescent="0.2">
      <c r="A14" s="22" t="s">
        <v>168</v>
      </c>
      <c r="B14" s="30">
        <f>PL!B7</f>
        <v>5000</v>
      </c>
      <c r="C14" s="30">
        <f>PL!C7</f>
        <v>7350</v>
      </c>
      <c r="D14" s="30">
        <f>PL!D7</f>
        <v>22680</v>
      </c>
      <c r="E14" s="30">
        <f>PL!E7</f>
        <v>31185</v>
      </c>
      <c r="F14" s="30">
        <f>PL!F7</f>
        <v>57380</v>
      </c>
    </row>
    <row r="15" spans="1:6" ht="21.75" customHeight="1" x14ac:dyDescent="0.2">
      <c r="A15" s="22" t="s">
        <v>169</v>
      </c>
      <c r="B15" s="46">
        <f>B14-B11</f>
        <v>-15372</v>
      </c>
      <c r="C15" s="46">
        <f>C14-C11</f>
        <v>-13022</v>
      </c>
      <c r="D15" s="46">
        <f>D14-D11</f>
        <v>18771</v>
      </c>
      <c r="E15" s="46">
        <f>E14-E11</f>
        <v>26628</v>
      </c>
      <c r="F15" s="46">
        <f>F14-F11</f>
        <v>53750</v>
      </c>
    </row>
    <row r="16" spans="1:6" ht="21.75" customHeight="1" x14ac:dyDescent="0.2">
      <c r="A16" s="22" t="s">
        <v>170</v>
      </c>
      <c r="B16" s="36">
        <f>IFERROR(B15/B14,0)</f>
        <v>-3.0743999999999998</v>
      </c>
      <c r="C16" s="36">
        <f>IFERROR(C15/C14,0)</f>
        <v>-1.7717006802721089</v>
      </c>
      <c r="D16" s="36">
        <f>IFERROR(D15/D14,0)</f>
        <v>0.82764550264550263</v>
      </c>
      <c r="E16" s="36">
        <f>IFERROR(E15/E14,0)</f>
        <v>0.85387205387205389</v>
      </c>
      <c r="F16" s="36">
        <f>IFERROR(F15/F14,0)</f>
        <v>0.9367375392122691</v>
      </c>
    </row>
    <row r="17" spans="1:8" ht="21.75" customHeight="1" x14ac:dyDescent="0.2">
      <c r="A17" s="22" t="s">
        <v>171</v>
      </c>
      <c r="B17" s="34">
        <f>PL!B32</f>
        <v>-53800</v>
      </c>
      <c r="C17" s="34">
        <f>PL!C32</f>
        <v>-45575</v>
      </c>
      <c r="D17" s="34">
        <f>PL!D32</f>
        <v>347280</v>
      </c>
      <c r="E17" s="34">
        <f>PL!E32</f>
        <v>492622.5</v>
      </c>
      <c r="F17" s="34">
        <f>PL!F32</f>
        <v>1263130</v>
      </c>
    </row>
    <row r="18" spans="1:8" ht="21.75" customHeight="1" x14ac:dyDescent="0.2">
      <c r="A18" s="22" t="s">
        <v>172</v>
      </c>
      <c r="B18" s="47" t="str">
        <f>IF(B14&gt;B11,"ABOVE BEP ✅","BELOW BEP ❌")</f>
        <v>BELOW BEP ❌</v>
      </c>
      <c r="C18" s="47" t="str">
        <f>IF(C14&gt;C11,"ABOVE BEP ✅","BELOW BEP ❌")</f>
        <v>BELOW BEP ❌</v>
      </c>
      <c r="D18" s="47" t="str">
        <f>IF(D14&gt;D11,"ABOVE BEP ✅","BELOW BEP ❌")</f>
        <v>ABOVE BEP ✅</v>
      </c>
      <c r="E18" s="47" t="str">
        <f>IF(E14&gt;E11,"ABOVE BEP ✅","BELOW BEP ❌")</f>
        <v>ABOVE BEP ✅</v>
      </c>
      <c r="F18" s="47" t="str">
        <f>IF(F14&gt;F11,"ABOVE BEP ✅","BELOW BEP ❌")</f>
        <v>ABOVE BEP ✅</v>
      </c>
    </row>
    <row r="20" spans="1:8" ht="12" customHeight="1" x14ac:dyDescent="0.2">
      <c r="A20" s="40" t="s">
        <v>173</v>
      </c>
      <c r="H20" s="48">
        <f>IFERROR(CEILING(B11/10,10),50)</f>
        <v>2040</v>
      </c>
    </row>
    <row r="21" spans="1:8" ht="15.75" customHeight="1" x14ac:dyDescent="0.2">
      <c r="A21" s="49" t="s">
        <v>174</v>
      </c>
      <c r="B21" s="49" t="s">
        <v>175</v>
      </c>
      <c r="C21" s="49" t="s">
        <v>176</v>
      </c>
      <c r="D21" s="49" t="s">
        <v>177</v>
      </c>
    </row>
    <row r="22" spans="1:8" ht="12" customHeight="1" x14ac:dyDescent="0.2">
      <c r="A22" s="50">
        <f>0*$H$20</f>
        <v>0</v>
      </c>
      <c r="B22" s="50">
        <f>A22*Inputs!$B$9</f>
        <v>0</v>
      </c>
      <c r="C22" s="50">
        <f t="shared" ref="C22:C42" si="0">$B$5+A22*$B$6</f>
        <v>71300</v>
      </c>
      <c r="D22" s="50">
        <f t="shared" ref="D22:D42" si="1">$B$5</f>
        <v>71300</v>
      </c>
    </row>
    <row r="23" spans="1:8" ht="12" customHeight="1" x14ac:dyDescent="0.2">
      <c r="A23" s="50">
        <f>1*$H$20</f>
        <v>2040</v>
      </c>
      <c r="B23" s="50">
        <f>A23*Inputs!$B$9</f>
        <v>30600</v>
      </c>
      <c r="C23" s="50">
        <f t="shared" si="0"/>
        <v>94760</v>
      </c>
      <c r="D23" s="50">
        <f t="shared" si="1"/>
        <v>71300</v>
      </c>
    </row>
    <row r="24" spans="1:8" ht="12" customHeight="1" x14ac:dyDescent="0.2">
      <c r="A24" s="50">
        <f>2*$H$20</f>
        <v>4080</v>
      </c>
      <c r="B24" s="50">
        <f>A24*Inputs!$B$9</f>
        <v>61200</v>
      </c>
      <c r="C24" s="50">
        <f t="shared" si="0"/>
        <v>118220</v>
      </c>
      <c r="D24" s="50">
        <f t="shared" si="1"/>
        <v>71300</v>
      </c>
    </row>
    <row r="25" spans="1:8" ht="12" customHeight="1" x14ac:dyDescent="0.2">
      <c r="A25" s="50">
        <f>3*$H$20</f>
        <v>6120</v>
      </c>
      <c r="B25" s="50">
        <f>A25*Inputs!$B$9</f>
        <v>91800</v>
      </c>
      <c r="C25" s="50">
        <f t="shared" si="0"/>
        <v>141680</v>
      </c>
      <c r="D25" s="50">
        <f t="shared" si="1"/>
        <v>71300</v>
      </c>
    </row>
    <row r="26" spans="1:8" ht="12" customHeight="1" x14ac:dyDescent="0.2">
      <c r="A26" s="50">
        <f>4*$H$20</f>
        <v>8160</v>
      </c>
      <c r="B26" s="50">
        <f>A26*Inputs!$B$9</f>
        <v>122400</v>
      </c>
      <c r="C26" s="50">
        <f t="shared" si="0"/>
        <v>165140</v>
      </c>
      <c r="D26" s="50">
        <f t="shared" si="1"/>
        <v>71300</v>
      </c>
    </row>
    <row r="27" spans="1:8" ht="12" customHeight="1" x14ac:dyDescent="0.2">
      <c r="A27" s="50">
        <f>5*$H$20</f>
        <v>10200</v>
      </c>
      <c r="B27" s="50">
        <f>A27*Inputs!$B$9</f>
        <v>153000</v>
      </c>
      <c r="C27" s="50">
        <f t="shared" si="0"/>
        <v>188600</v>
      </c>
      <c r="D27" s="50">
        <f t="shared" si="1"/>
        <v>71300</v>
      </c>
    </row>
    <row r="28" spans="1:8" ht="12" customHeight="1" x14ac:dyDescent="0.2">
      <c r="A28" s="50">
        <f>6*$H$20</f>
        <v>12240</v>
      </c>
      <c r="B28" s="50">
        <f>A28*Inputs!$B$9</f>
        <v>183600</v>
      </c>
      <c r="C28" s="50">
        <f t="shared" si="0"/>
        <v>212060</v>
      </c>
      <c r="D28" s="50">
        <f t="shared" si="1"/>
        <v>71300</v>
      </c>
    </row>
    <row r="29" spans="1:8" ht="12" customHeight="1" x14ac:dyDescent="0.2">
      <c r="A29" s="50">
        <f>7*$H$20</f>
        <v>14280</v>
      </c>
      <c r="B29" s="50">
        <f>A29*Inputs!$B$9</f>
        <v>214200</v>
      </c>
      <c r="C29" s="50">
        <f t="shared" si="0"/>
        <v>235520</v>
      </c>
      <c r="D29" s="50">
        <f t="shared" si="1"/>
        <v>71300</v>
      </c>
    </row>
    <row r="30" spans="1:8" ht="12" customHeight="1" x14ac:dyDescent="0.2">
      <c r="A30" s="50">
        <f>8*$H$20</f>
        <v>16320</v>
      </c>
      <c r="B30" s="50">
        <f>A30*Inputs!$B$9</f>
        <v>244800</v>
      </c>
      <c r="C30" s="50">
        <f t="shared" si="0"/>
        <v>258980</v>
      </c>
      <c r="D30" s="50">
        <f t="shared" si="1"/>
        <v>71300</v>
      </c>
    </row>
    <row r="31" spans="1:8" ht="12" customHeight="1" x14ac:dyDescent="0.2">
      <c r="A31" s="50">
        <f>9*$H$20</f>
        <v>18360</v>
      </c>
      <c r="B31" s="50">
        <f>A31*Inputs!$B$9</f>
        <v>275400</v>
      </c>
      <c r="C31" s="50">
        <f t="shared" si="0"/>
        <v>282440</v>
      </c>
      <c r="D31" s="50">
        <f t="shared" si="1"/>
        <v>71300</v>
      </c>
    </row>
    <row r="32" spans="1:8" ht="12" customHeight="1" x14ac:dyDescent="0.2">
      <c r="A32" s="50">
        <f>10*$H$20</f>
        <v>20400</v>
      </c>
      <c r="B32" s="50">
        <f>A32*Inputs!$B$9</f>
        <v>306000</v>
      </c>
      <c r="C32" s="50">
        <f t="shared" si="0"/>
        <v>305900</v>
      </c>
      <c r="D32" s="50">
        <f t="shared" si="1"/>
        <v>71300</v>
      </c>
    </row>
    <row r="33" spans="1:6" ht="12" customHeight="1" x14ac:dyDescent="0.2">
      <c r="A33" s="50">
        <f>11*$H$20</f>
        <v>22440</v>
      </c>
      <c r="B33" s="50">
        <f>A33*Inputs!$B$9</f>
        <v>336600</v>
      </c>
      <c r="C33" s="50">
        <f t="shared" si="0"/>
        <v>329360</v>
      </c>
      <c r="D33" s="50">
        <f t="shared" si="1"/>
        <v>71300</v>
      </c>
    </row>
    <row r="34" spans="1:6" ht="12" customHeight="1" x14ac:dyDescent="0.2">
      <c r="A34" s="50">
        <f>12*$H$20</f>
        <v>24480</v>
      </c>
      <c r="B34" s="50">
        <f>A34*Inputs!$B$9</f>
        <v>367200</v>
      </c>
      <c r="C34" s="50">
        <f t="shared" si="0"/>
        <v>352820</v>
      </c>
      <c r="D34" s="50">
        <f t="shared" si="1"/>
        <v>71300</v>
      </c>
    </row>
    <row r="35" spans="1:6" ht="12" customHeight="1" x14ac:dyDescent="0.2">
      <c r="A35" s="50">
        <f>13*$H$20</f>
        <v>26520</v>
      </c>
      <c r="B35" s="50">
        <f>A35*Inputs!$B$9</f>
        <v>397800</v>
      </c>
      <c r="C35" s="50">
        <f t="shared" si="0"/>
        <v>376280</v>
      </c>
      <c r="D35" s="50">
        <f t="shared" si="1"/>
        <v>71300</v>
      </c>
    </row>
    <row r="36" spans="1:6" ht="12" customHeight="1" x14ac:dyDescent="0.2">
      <c r="A36" s="50">
        <f>14*$H$20</f>
        <v>28560</v>
      </c>
      <c r="B36" s="50">
        <f>A36*Inputs!$B$9</f>
        <v>428400</v>
      </c>
      <c r="C36" s="50">
        <f t="shared" si="0"/>
        <v>399740</v>
      </c>
      <c r="D36" s="50">
        <f t="shared" si="1"/>
        <v>71300</v>
      </c>
    </row>
    <row r="37" spans="1:6" ht="12" customHeight="1" x14ac:dyDescent="0.2">
      <c r="A37" s="50">
        <f>15*$H$20</f>
        <v>30600</v>
      </c>
      <c r="B37" s="50">
        <f>A37*Inputs!$B$9</f>
        <v>459000</v>
      </c>
      <c r="C37" s="50">
        <f t="shared" si="0"/>
        <v>423200</v>
      </c>
      <c r="D37" s="50">
        <f t="shared" si="1"/>
        <v>71300</v>
      </c>
    </row>
    <row r="38" spans="1:6" ht="12" customHeight="1" x14ac:dyDescent="0.2">
      <c r="A38" s="50">
        <f>16*$H$20</f>
        <v>32640</v>
      </c>
      <c r="B38" s="50">
        <f>A38*Inputs!$B$9</f>
        <v>489600</v>
      </c>
      <c r="C38" s="50">
        <f t="shared" si="0"/>
        <v>446660</v>
      </c>
      <c r="D38" s="50">
        <f t="shared" si="1"/>
        <v>71300</v>
      </c>
    </row>
    <row r="39" spans="1:6" ht="12" customHeight="1" x14ac:dyDescent="0.2">
      <c r="A39" s="50">
        <f>17*$H$20</f>
        <v>34680</v>
      </c>
      <c r="B39" s="50">
        <f>A39*Inputs!$B$9</f>
        <v>520200</v>
      </c>
      <c r="C39" s="50">
        <f t="shared" si="0"/>
        <v>470120</v>
      </c>
      <c r="D39" s="50">
        <f t="shared" si="1"/>
        <v>71300</v>
      </c>
    </row>
    <row r="40" spans="1:6" ht="12" customHeight="1" x14ac:dyDescent="0.2">
      <c r="A40" s="50">
        <f>18*$H$20</f>
        <v>36720</v>
      </c>
      <c r="B40" s="50">
        <f>A40*Inputs!$B$9</f>
        <v>550800</v>
      </c>
      <c r="C40" s="50">
        <f t="shared" si="0"/>
        <v>493580</v>
      </c>
      <c r="D40" s="50">
        <f t="shared" si="1"/>
        <v>71300</v>
      </c>
    </row>
    <row r="41" spans="1:6" ht="12" customHeight="1" x14ac:dyDescent="0.2">
      <c r="A41" s="50">
        <f>19*$H$20</f>
        <v>38760</v>
      </c>
      <c r="B41" s="50">
        <f>A41*Inputs!$B$9</f>
        <v>581400</v>
      </c>
      <c r="C41" s="50">
        <f t="shared" si="0"/>
        <v>517040</v>
      </c>
      <c r="D41" s="50">
        <f t="shared" si="1"/>
        <v>71300</v>
      </c>
    </row>
    <row r="42" spans="1:6" ht="12" customHeight="1" x14ac:dyDescent="0.2">
      <c r="A42" s="50">
        <f>20*$H$20</f>
        <v>40800</v>
      </c>
      <c r="B42" s="50">
        <f>A42*Inputs!$B$9</f>
        <v>612000</v>
      </c>
      <c r="C42" s="50">
        <f t="shared" si="0"/>
        <v>540500</v>
      </c>
      <c r="D42" s="50">
        <f t="shared" si="1"/>
        <v>71300</v>
      </c>
    </row>
    <row r="44" spans="1:6" ht="21.75" customHeight="1" x14ac:dyDescent="0.2">
      <c r="A44" s="54" t="s">
        <v>178</v>
      </c>
      <c r="B44" s="54"/>
      <c r="C44" s="54"/>
      <c r="D44" s="54"/>
      <c r="E44" s="54"/>
      <c r="F44" s="54"/>
    </row>
    <row r="45" spans="1:6" ht="27.75" customHeight="1" x14ac:dyDescent="0.2">
      <c r="A45" s="61" t="s">
        <v>179</v>
      </c>
      <c r="B45" s="61"/>
      <c r="C45" s="61"/>
      <c r="D45" s="61"/>
      <c r="E45" s="61"/>
      <c r="F45" s="61"/>
    </row>
    <row r="46" spans="1:6" ht="21.75" customHeight="1" x14ac:dyDescent="0.2">
      <c r="A46" s="51" t="s">
        <v>61</v>
      </c>
      <c r="B46" s="11" t="s">
        <v>62</v>
      </c>
      <c r="C46" s="11" t="s">
        <v>63</v>
      </c>
      <c r="D46" s="11" t="s">
        <v>64</v>
      </c>
      <c r="E46" s="11" t="s">
        <v>65</v>
      </c>
      <c r="F46" s="11" t="s">
        <v>66</v>
      </c>
    </row>
    <row r="47" spans="1:6" ht="19.5" customHeight="1" x14ac:dyDescent="0.2">
      <c r="A47" s="22" t="s">
        <v>180</v>
      </c>
      <c r="B47" s="34">
        <f>PL!B9</f>
        <v>75000</v>
      </c>
      <c r="C47" s="34">
        <f>PL!C9</f>
        <v>110250</v>
      </c>
      <c r="D47" s="34">
        <f>PL!D9</f>
        <v>680400</v>
      </c>
      <c r="E47" s="34">
        <f>PL!E9</f>
        <v>935550</v>
      </c>
      <c r="F47" s="34">
        <f>PL!F9</f>
        <v>2008300</v>
      </c>
    </row>
    <row r="48" spans="1:6" ht="19.5" customHeight="1" x14ac:dyDescent="0.2">
      <c r="A48" s="22" t="s">
        <v>181</v>
      </c>
      <c r="B48" s="34">
        <f>PL!B17+PL!B30</f>
        <v>128800</v>
      </c>
      <c r="C48" s="34">
        <f>PL!C17+PL!C30</f>
        <v>155825</v>
      </c>
      <c r="D48" s="34">
        <f>PL!D17+PL!D30</f>
        <v>333120</v>
      </c>
      <c r="E48" s="34">
        <f>PL!E17+PL!E30</f>
        <v>442927.5</v>
      </c>
      <c r="F48" s="34">
        <f>PL!F17+PL!F30</f>
        <v>745170</v>
      </c>
    </row>
    <row r="49" spans="1:6" ht="19.5" customHeight="1" x14ac:dyDescent="0.2">
      <c r="A49" s="32" t="s">
        <v>182</v>
      </c>
      <c r="B49" s="21">
        <f>B47</f>
        <v>75000</v>
      </c>
      <c r="C49" s="21">
        <f t="shared" ref="C49:F50" si="2">B49+C47</f>
        <v>185250</v>
      </c>
      <c r="D49" s="21">
        <f t="shared" si="2"/>
        <v>865650</v>
      </c>
      <c r="E49" s="21">
        <f t="shared" si="2"/>
        <v>1801200</v>
      </c>
      <c r="F49" s="21">
        <f t="shared" si="2"/>
        <v>3809500</v>
      </c>
    </row>
    <row r="50" spans="1:6" ht="19.5" customHeight="1" x14ac:dyDescent="0.2">
      <c r="A50" s="32" t="s">
        <v>183</v>
      </c>
      <c r="B50" s="21">
        <f>B48</f>
        <v>128800</v>
      </c>
      <c r="C50" s="21">
        <f t="shared" si="2"/>
        <v>284625</v>
      </c>
      <c r="D50" s="21">
        <f t="shared" si="2"/>
        <v>617745</v>
      </c>
      <c r="E50" s="21">
        <f t="shared" si="2"/>
        <v>1060672.5</v>
      </c>
      <c r="F50" s="21">
        <f t="shared" si="2"/>
        <v>1805842.5</v>
      </c>
    </row>
    <row r="51" spans="1:6" ht="19.5" customHeight="1" x14ac:dyDescent="0.2">
      <c r="A51" s="32" t="s">
        <v>184</v>
      </c>
      <c r="B51" s="47" t="str">
        <f>IF(B49&gt;B50,"✅ Recovered","❌ Not yet")</f>
        <v>❌ Not yet</v>
      </c>
      <c r="C51" s="47" t="str">
        <f>IF(C49&gt;C50,"✅ Recovered","❌ Not yet")</f>
        <v>❌ Not yet</v>
      </c>
      <c r="D51" s="47" t="str">
        <f>IF(D49&gt;D50,"✅ Recovered","❌ Not yet")</f>
        <v>✅ Recovered</v>
      </c>
      <c r="E51" s="47" t="str">
        <f>IF(E49&gt;E50,"✅ Recovered","❌ Not yet")</f>
        <v>✅ Recovered</v>
      </c>
      <c r="F51" s="47" t="str">
        <f>IF(F49&gt;F50,"✅ Recovered","❌ Not yet")</f>
        <v>✅ Recovered</v>
      </c>
    </row>
    <row r="52" spans="1:6" ht="9.75" customHeight="1" x14ac:dyDescent="0.2">
      <c r="B52" s="52" t="s">
        <v>62</v>
      </c>
      <c r="C52" s="52" t="s">
        <v>63</v>
      </c>
      <c r="D52" s="52" t="s">
        <v>64</v>
      </c>
      <c r="E52" s="52" t="s">
        <v>65</v>
      </c>
      <c r="F52" s="52" t="s">
        <v>66</v>
      </c>
    </row>
  </sheetData>
  <mergeCells count="7">
    <mergeCell ref="A44:F44"/>
    <mergeCell ref="A45:F45"/>
    <mergeCell ref="A1:F1"/>
    <mergeCell ref="A2:F2"/>
    <mergeCell ref="A4:F4"/>
    <mergeCell ref="A10:F10"/>
    <mergeCell ref="A13:F13"/>
  </mergeCells>
  <phoneticPr fontId="28"/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How to Use</vt:lpstr>
      <vt:lpstr>Inputs</vt:lpstr>
      <vt:lpstr>PL</vt:lpstr>
      <vt:lpstr>BEP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MattMatsunoo</cp:lastModifiedBy>
  <cp:revision>1</cp:revision>
  <dcterms:created xsi:type="dcterms:W3CDTF">2026-05-02T05:29:46Z</dcterms:created>
  <dcterms:modified xsi:type="dcterms:W3CDTF">2026-05-10T06:13:26Z</dcterms:modified>
  <dc:language>en-US</dc:language>
</cp:coreProperties>
</file>